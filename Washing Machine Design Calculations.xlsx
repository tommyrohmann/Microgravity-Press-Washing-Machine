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d.docs.live.net/dcdf7eb514dfaeec/Projects/Microgravity-Press-Washing-Machine/"/>
    </mc:Choice>
  </mc:AlternateContent>
  <xr:revisionPtr revIDLastSave="98" documentId="13_ncr:1_{D766C26B-1EE4-490E-9437-84C4703C55A6}" xr6:coauthVersionLast="47" xr6:coauthVersionMax="47" xr10:uidLastSave="{7C91B7A4-938D-4B49-A253-C525D6E9D0F4}"/>
  <bookViews>
    <workbookView xWindow="-108" yWindow="-108" windowWidth="23256" windowHeight="12456" xr2:uid="{73A7591B-B5CA-4318-9343-9B3FDBEBCAB4}"/>
  </bookViews>
  <sheets>
    <sheet name="Design and Material Specs" sheetId="2" r:id="rId1"/>
    <sheet name="Motor Sizing Calcs" sheetId="1" r:id="rId2"/>
    <sheet name="Piston Thrust Calcs" sheetId="11" r:id="rId3"/>
    <sheet name="Frame Calcs" sheetId="10" r:id="rId4"/>
    <sheet name="Screw Calculations" sheetId="9" r:id="rId5"/>
    <sheet name="Piston Travel &amp; Pressure Calcs" sheetId="6" r:id="rId6"/>
    <sheet name="Sources" sheetId="8" r:id="rId7"/>
    <sheet name="Equation Derivation" sheetId="3" r:id="rId8"/>
  </sheets>
  <definedNames>
    <definedName name="AmbientPressureAbsolute">'Design and Material Specs'!$N$14</definedName>
    <definedName name="AppliedForceNormal">'Design and Material Specs'!$D$5</definedName>
    <definedName name="CoeffStaticFrictionBrassonSteelLubricated">'Design and Material Specs'!$N$15</definedName>
    <definedName name="FS">'Design and Material Specs'!$D$7</definedName>
    <definedName name="lfb2N">'Design and Material Specs'!$N$16</definedName>
    <definedName name="MachineHeight">'Design and Material Specs'!$D$12</definedName>
    <definedName name="MachineLength">'Design and Material Specs'!$D$14</definedName>
    <definedName name="MachineWidth">'Design and Material Specs'!$D$13</definedName>
    <definedName name="MMH">'Piston Travel &amp; Pressure Calcs'!$B$3</definedName>
    <definedName name="PistonSpeed">'Design and Material Specs'!$D$6</definedName>
    <definedName name="PTIH">'Piston Travel &amp; Pressure Calcs'!$B$4</definedName>
    <definedName name="SS303FatigueStrength">'Design and Material Specs'!$N$4</definedName>
    <definedName name="SS303YieldStrength">'Design and Material Specs'!$O$4</definedName>
    <definedName name="SS303YoungsModulus">'Design and Material Specs'!$P$4</definedName>
    <definedName name="WashChamberDiameter">'Design and Material Specs'!$D$10</definedName>
    <definedName name="WCID">'Piston Travel &amp; Pressure Calcs'!$B$2</definedName>
    <definedName name="WPRT">'Piston Travel &amp; Pressure Calcs'!$B$1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1" i="6" l="1"/>
  <c r="B22" i="6"/>
  <c r="H26" i="10" l="1"/>
  <c r="C30" i="10"/>
  <c r="C28" i="10"/>
  <c r="C6" i="10"/>
  <c r="C13" i="10"/>
  <c r="C10" i="10"/>
  <c r="C15" i="10" s="1"/>
  <c r="C18" i="10"/>
  <c r="C11" i="10" s="1"/>
  <c r="C17" i="10"/>
  <c r="B9" i="1"/>
  <c r="G11" i="1"/>
  <c r="G16" i="1"/>
  <c r="C7" i="10" l="1"/>
  <c r="C8" i="10" s="1"/>
  <c r="C12" i="10"/>
  <c r="L49" i="11" l="1"/>
  <c r="L50" i="11" s="1"/>
  <c r="B49" i="11"/>
  <c r="G46" i="11"/>
  <c r="L45" i="11"/>
  <c r="L47" i="11" s="1"/>
  <c r="B45" i="11"/>
  <c r="B44" i="11"/>
  <c r="B46" i="11" s="1"/>
  <c r="B47" i="11" s="1"/>
  <c r="B50" i="11" s="1"/>
  <c r="G47" i="11" s="1"/>
  <c r="G36" i="11"/>
  <c r="G37" i="11" s="1"/>
  <c r="L34" i="11"/>
  <c r="L36" i="11" s="1"/>
  <c r="G30" i="11"/>
  <c r="L28" i="11"/>
  <c r="G28" i="11"/>
  <c r="V26" i="11"/>
  <c r="V27" i="11" s="1"/>
  <c r="Q26" i="11"/>
  <c r="B26" i="11"/>
  <c r="V25" i="11"/>
  <c r="L25" i="11"/>
  <c r="V24" i="11"/>
  <c r="Q24" i="11"/>
  <c r="L24" i="11"/>
  <c r="L29" i="11" s="1"/>
  <c r="B24" i="11"/>
  <c r="B25" i="11" s="1"/>
  <c r="B27" i="11" s="1"/>
  <c r="G29" i="11" s="1"/>
  <c r="G14" i="11"/>
  <c r="G16" i="11" s="1"/>
  <c r="B14" i="11"/>
  <c r="B15" i="11" s="1"/>
  <c r="B9" i="11"/>
  <c r="G8" i="11"/>
  <c r="G9" i="11" s="1"/>
  <c r="G10" i="11" s="1"/>
  <c r="B8" i="11"/>
  <c r="B7" i="11"/>
  <c r="L6" i="11"/>
  <c r="L7" i="11" s="1"/>
  <c r="B6" i="11"/>
  <c r="L5" i="11"/>
  <c r="G5" i="11"/>
  <c r="G7" i="11" s="1"/>
  <c r="G4" i="11"/>
  <c r="C27" i="10"/>
  <c r="C32" i="10"/>
  <c r="K13" i="9"/>
  <c r="K15" i="9" s="1"/>
  <c r="K14" i="9"/>
  <c r="E10" i="9"/>
  <c r="E5" i="9"/>
  <c r="E24" i="9" s="1"/>
  <c r="E19" i="9"/>
  <c r="E20" i="9"/>
  <c r="J5" i="9"/>
  <c r="E16" i="9" s="1"/>
  <c r="E17" i="9" s="1"/>
  <c r="AB24" i="1"/>
  <c r="AB20" i="1"/>
  <c r="AB19" i="1"/>
  <c r="AB22" i="1" s="1"/>
  <c r="W20" i="1"/>
  <c r="W19" i="1"/>
  <c r="B15" i="6"/>
  <c r="B4" i="6" s="1"/>
  <c r="AG13" i="1"/>
  <c r="W12" i="1"/>
  <c r="AG9" i="1"/>
  <c r="AB9" i="1"/>
  <c r="AG8" i="1" s="1"/>
  <c r="W9" i="1"/>
  <c r="AG7" i="1"/>
  <c r="C29" i="10" l="1"/>
  <c r="C33" i="10" s="1"/>
  <c r="B5" i="11"/>
  <c r="B10" i="11" s="1"/>
  <c r="B11" i="11" s="1"/>
  <c r="E23" i="9"/>
  <c r="W22" i="1"/>
  <c r="L30" i="11"/>
  <c r="L27" i="11"/>
  <c r="G27" i="11"/>
  <c r="G32" i="11" s="1"/>
  <c r="G33" i="11" s="1"/>
  <c r="E22" i="9"/>
  <c r="AG12" i="1"/>
  <c r="W10" i="1"/>
  <c r="AG11" i="1"/>
  <c r="W13" i="1" l="1"/>
  <c r="AB10" i="1" s="1"/>
  <c r="L4" i="1"/>
  <c r="D51" i="1"/>
  <c r="G14" i="1"/>
  <c r="F56" i="1"/>
  <c r="F5" i="2"/>
  <c r="G45" i="1"/>
  <c r="D24" i="2" l="1"/>
  <c r="B30" i="1"/>
  <c r="B37" i="1" s="1"/>
  <c r="G44" i="1" s="1"/>
  <c r="G46" i="1" s="1"/>
  <c r="G47" i="1" s="1"/>
  <c r="G12" i="1"/>
  <c r="G5" i="1"/>
  <c r="E7" i="6" a="1"/>
  <c r="E7" i="6" s="1"/>
  <c r="E8" i="6" l="1"/>
  <c r="E12" i="6" s="1"/>
  <c r="G13" i="1"/>
  <c r="B18" i="1"/>
  <c r="G6" i="1"/>
  <c r="G10" i="1"/>
  <c r="L5" i="1" s="1"/>
  <c r="L7" i="1" s="1"/>
  <c r="E10" i="6" l="1"/>
  <c r="L6" i="1"/>
  <c r="L8" i="1" s="1"/>
  <c r="Q4" i="1"/>
  <c r="B11" i="1"/>
  <c r="B15" i="1"/>
  <c r="B17" i="1" s="1"/>
  <c r="B10" i="1"/>
  <c r="L9" i="1" l="1"/>
  <c r="B29" i="1" s="1"/>
  <c r="K11" i="9"/>
  <c r="G17" i="1"/>
  <c r="B12" i="1"/>
  <c r="K19" i="9" l="1"/>
  <c r="K18" i="9"/>
  <c r="K16" i="9"/>
  <c r="K17" i="9"/>
  <c r="K20" i="9" l="1"/>
  <c r="B34" i="1"/>
  <c r="L12" i="1"/>
  <c r="B31" i="1"/>
  <c r="L11" i="1"/>
  <c r="L10" i="1"/>
  <c r="K23" i="9" l="1"/>
  <c r="K24" i="9" s="1"/>
  <c r="K21" i="9"/>
  <c r="G29" i="1"/>
  <c r="B36" i="1"/>
  <c r="B35" i="1"/>
  <c r="B43" i="1"/>
  <c r="B46" i="1" s="1"/>
  <c r="D52" i="1" s="1"/>
  <c r="D53" i="1" s="1"/>
  <c r="D56" i="1" s="1"/>
  <c r="F53" i="1" l="1"/>
  <c r="B45" i="1"/>
  <c r="B44"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<sst xmlns="http://schemas.openxmlformats.org/spreadsheetml/2006/main" count="659" uniqueCount="350">
  <si>
    <t>Desired Force Application</t>
  </si>
  <si>
    <t>Method</t>
  </si>
  <si>
    <t>Material Properties</t>
  </si>
  <si>
    <t>Design Specifications</t>
  </si>
  <si>
    <t>lb</t>
  </si>
  <si>
    <t>Units</t>
  </si>
  <si>
    <t>Piston Speed</t>
  </si>
  <si>
    <t>ft/s</t>
  </si>
  <si>
    <t>Piston Rod Size For Load Application</t>
  </si>
  <si>
    <t>303 Stainless Steel</t>
  </si>
  <si>
    <t>FS</t>
  </si>
  <si>
    <t>-</t>
  </si>
  <si>
    <t>Max Force Application</t>
  </si>
  <si>
    <t>psi</t>
  </si>
  <si>
    <t>Value</t>
  </si>
  <si>
    <t>Item</t>
  </si>
  <si>
    <t>Source</t>
  </si>
  <si>
    <t>Matweb</t>
  </si>
  <si>
    <t>K</t>
  </si>
  <si>
    <t>I</t>
  </si>
  <si>
    <t>E</t>
  </si>
  <si>
    <t>Pcr</t>
  </si>
  <si>
    <t>Youngs Modulus</t>
  </si>
  <si>
    <t>lmax</t>
  </si>
  <si>
    <t>Piston Travel Max</t>
  </si>
  <si>
    <t xml:space="preserve"> r = Radius of Shaft, R = Radius of Wash Chamber, t = Chamber Top travel, T = Piston travel distance, and V = Volume</t>
  </si>
  <si>
    <t xml:space="preserve">When the chamber top extends upward, it increases the volume of the chamber by the cross sectional area of the wash chamber minus the cross sectional area of the shaft multiplied by the distance traveled, represented by </t>
  </si>
  <si>
    <t>.</t>
  </si>
  <si>
    <t>For const volume, volume of shaft introduced into chamber equated to required chamber top travel</t>
  </si>
  <si>
    <t>πr^2 T=t(πR^2-πr^2)</t>
  </si>
  <si>
    <t>Solved for piston top travel</t>
  </si>
  <si>
    <t>t=πr^2 T/(πR^2-πr^2)</t>
  </si>
  <si>
    <t>Simplified equation for chamber top travel for a given compression piston travel</t>
  </si>
  <si>
    <t>t=r^2*T/(R^2-r^2)</t>
  </si>
  <si>
    <t>H= Max allowable height of machine, r = Radius of Shaft, R = Radius of Wash Chamber, t = Chamber Top travel, T = Piston travel distance, and W[component] = Width or height taken up by component in washing machine</t>
  </si>
  <si>
    <t>Ideal max piston travel for a given height</t>
  </si>
  <si>
    <t>T=H-T</t>
  </si>
  <si>
    <t>Actual allowable piston travel</t>
  </si>
  <si>
    <t>T=H-(T+∑W)</t>
  </si>
  <si>
    <t>Find allowable piston travel based upon thickness of structural members, pistons, and chamber top travel</t>
  </si>
  <si>
    <t>T=H-(T+(r^2*T/(R^2-r^2))+∑W)</t>
  </si>
  <si>
    <t>Allowable piston travel, solving for T</t>
  </si>
  <si>
    <t>T=(H-∑W)(R^2-r^2/(2R^2-r^2))</t>
  </si>
  <si>
    <t>Method:</t>
  </si>
  <si>
    <t>Determine the number of compression cycles that need to take place over the products working lifespan to determine max stress each member can experience under normal operations.</t>
  </si>
  <si>
    <t>Name of Value</t>
  </si>
  <si>
    <t>Symbol</t>
  </si>
  <si>
    <t>Reasoning</t>
  </si>
  <si>
    <t>Load Bearing Material</t>
  </si>
  <si>
    <t>Stress for Given Lifespan</t>
  </si>
  <si>
    <t xml:space="preserve">People Accomodated </t>
  </si>
  <si>
    <t>People</t>
  </si>
  <si>
    <t>NA</t>
  </si>
  <si>
    <t>Crew Size for the ISS</t>
  </si>
  <si>
    <t>Wash Rate</t>
  </si>
  <si>
    <t>Wash/Person/Day</t>
  </si>
  <si>
    <t>Assuming washing full set of clothes per day (over-estimation)</t>
  </si>
  <si>
    <t>304 Stainless Steel</t>
  </si>
  <si>
    <t>Designed Life-Span</t>
  </si>
  <si>
    <t>Years</t>
  </si>
  <si>
    <t>Compressions Per Wash Min</t>
  </si>
  <si>
    <t># of Compression Cycles</t>
  </si>
  <si>
    <t>One compression for hydration, agitation, and removal of water respectively</t>
  </si>
  <si>
    <t>Aluminium 3104-H19</t>
  </si>
  <si>
    <t>Compressions Per Wash Max</t>
  </si>
  <si>
    <t>Arbitrarily chosen to accommodate multiple compressions per wash phase</t>
  </si>
  <si>
    <t>Aluminium 3004-H19</t>
  </si>
  <si>
    <t>Wash Chamber Diameter</t>
  </si>
  <si>
    <t>Wash Chamber Height</t>
  </si>
  <si>
    <t>Max Maching Height</t>
  </si>
  <si>
    <t>Max Machine Width</t>
  </si>
  <si>
    <t>in</t>
  </si>
  <si>
    <t>Max Machine Length</t>
  </si>
  <si>
    <t>a</t>
  </si>
  <si>
    <t>D</t>
  </si>
  <si>
    <t>Shaft Diameter</t>
  </si>
  <si>
    <t>check</t>
  </si>
  <si>
    <t>Reaction Force on Chamber Top Due to Pressure</t>
  </si>
  <si>
    <t>Max Water Pressue</t>
  </si>
  <si>
    <t>Chamber Top Wetted Area</t>
  </si>
  <si>
    <t>Piston Area</t>
  </si>
  <si>
    <t># of Supports</t>
  </si>
  <si>
    <t>Chamber Top Rod Size For Load Application</t>
  </si>
  <si>
    <t># of Lead Screws</t>
  </si>
  <si>
    <t>Tension</t>
  </si>
  <si>
    <t>State of Force</t>
  </si>
  <si>
    <t>Force Applied to Screws</t>
  </si>
  <si>
    <t>Critical Stress Due to Plastic Deformation</t>
  </si>
  <si>
    <t>Coefficient of Friction Equation and Table Chart (engineersedge.com)</t>
  </si>
  <si>
    <t>Max Allowed Stress</t>
  </si>
  <si>
    <t>Minimum diameter of lead screw pure tensile stress</t>
  </si>
  <si>
    <t>Pitch at Given Diameter</t>
  </si>
  <si>
    <t>From Shigleys</t>
  </si>
  <si>
    <t>mean diameter of Lead Screw</t>
  </si>
  <si>
    <t>Unraveled Diameter of Screw</t>
  </si>
  <si>
    <t>Applied Force</t>
  </si>
  <si>
    <t>Pitch Angle of Screw</t>
  </si>
  <si>
    <t>Normal Reaction Force</t>
  </si>
  <si>
    <t>Horizontal Component of Normal Force</t>
  </si>
  <si>
    <t>Friction Force</t>
  </si>
  <si>
    <t>Force Required to Produce Applied Load</t>
  </si>
  <si>
    <t>Torque application required to move piston</t>
  </si>
  <si>
    <t>ft-lb</t>
  </si>
  <si>
    <t>lbf</t>
  </si>
  <si>
    <t>Shear Stress Induced due to Torque</t>
  </si>
  <si>
    <t>Polar Moment of Inertia of Screw (minor dia)</t>
  </si>
  <si>
    <t>1 atm</t>
  </si>
  <si>
    <t>psia</t>
  </si>
  <si>
    <t>Pre-Spec Screw Dimensions</t>
  </si>
  <si>
    <t>Screw Major Diameter</t>
  </si>
  <si>
    <t>Thread Type</t>
  </si>
  <si>
    <t>ACME</t>
  </si>
  <si>
    <t>Screw Minor Diameter</t>
  </si>
  <si>
    <t>Screw Mean Diameter</t>
  </si>
  <si>
    <t>Screw Pitch</t>
  </si>
  <si>
    <t>TPI</t>
  </si>
  <si>
    <t>Material</t>
  </si>
  <si>
    <t>Design Max Stress</t>
  </si>
  <si>
    <t>Mean Screw Circumference</t>
  </si>
  <si>
    <t>Screw Efficiency</t>
  </si>
  <si>
    <t>Minor Diameter Cross Sect. Area</t>
  </si>
  <si>
    <t>Piston Lead Screw Initial Sizing</t>
  </si>
  <si>
    <t>inch/revolution</t>
  </si>
  <si>
    <t>threads/inch</t>
  </si>
  <si>
    <t>Motor Sizing</t>
  </si>
  <si>
    <t>Chain Efficiency</t>
  </si>
  <si>
    <t>radians</t>
  </si>
  <si>
    <t>degrees</t>
  </si>
  <si>
    <t>Screw Pitch Angle</t>
  </si>
  <si>
    <t>Notes</t>
  </si>
  <si>
    <t>initial estimate of rod size to withstand forces associated with maximum working clothing compression</t>
  </si>
  <si>
    <t>Condition</t>
  </si>
  <si>
    <t>Max Clothing Compression</t>
  </si>
  <si>
    <t>~(3/8")</t>
  </si>
  <si>
    <t>Note</t>
  </si>
  <si>
    <t>Mild Steel</t>
  </si>
  <si>
    <t>1 lb = 16 oz</t>
  </si>
  <si>
    <t>oz-in</t>
  </si>
  <si>
    <t>kg-cm</t>
  </si>
  <si>
    <t>Gear Ratio</t>
  </si>
  <si>
    <t>RPM</t>
  </si>
  <si>
    <t>Wash Chamber ID</t>
  </si>
  <si>
    <t>Max Machine Height</t>
  </si>
  <si>
    <t>Interference Hardware</t>
  </si>
  <si>
    <t>( MMH - PTIH ) * ( ( ( ( ( WCID / 2 ul ) ^ 2 ul ) - ( WPRT / 2 ul ) ^ 2 ul ) ) / ( ( ( (2 ul * ( WCID / 2 ul )) ^ 2 ul ) - ( WPRT / 2 ul ) ^ 2 ul ) ) )</t>
  </si>
  <si>
    <t>ACME Thread Calculations: A Complete Guide - EngineerExcel</t>
  </si>
  <si>
    <t>Links</t>
  </si>
  <si>
    <t>Lead Screw Analysis of Selected Screw</t>
  </si>
  <si>
    <t>Required Motor Torque to Achieve Applied Force</t>
  </si>
  <si>
    <t>Assumed Sprocket Size</t>
  </si>
  <si>
    <t>from inventor max allowable space for given design</t>
  </si>
  <si>
    <t>From ACME Screw calc (x2 due to 2 acme screws)</t>
  </si>
  <si>
    <t>Chain Tension for Applied Load</t>
  </si>
  <si>
    <t>2.1.2 Engagement with Sprockets (chain-guide.com)</t>
  </si>
  <si>
    <t>Total Chain Tension</t>
  </si>
  <si>
    <t>Chain Back Tension (to Prevent Slip)</t>
  </si>
  <si>
    <t>Required Chain Strength</t>
  </si>
  <si>
    <t>Chain Drive Efficiency Estimate</t>
  </si>
  <si>
    <t>Required Torque to Drive Chain</t>
  </si>
  <si>
    <t>Critical Stress Buckling (Check)</t>
  </si>
  <si>
    <t>Stress required to buckle beam</t>
  </si>
  <si>
    <t>in2</t>
  </si>
  <si>
    <t>Force Required to Produce Buckling Stress</t>
  </si>
  <si>
    <t>Reservior Piston Rod Size For Load Application</t>
  </si>
  <si>
    <t>Selected Motor Specifications</t>
  </si>
  <si>
    <t>Voltage</t>
  </si>
  <si>
    <t>Reaction Force on Reservior Piston Due to Potential Developed Pressure</t>
  </si>
  <si>
    <t>Wash Piston Rod</t>
  </si>
  <si>
    <t>Reservior Piston Rod</t>
  </si>
  <si>
    <t>Span of Piston Rod</t>
  </si>
  <si>
    <t>Torque Applied to Screw to Achieve Applied Force</t>
  </si>
  <si>
    <t>Max Stress of Material Used</t>
  </si>
  <si>
    <t>Drive Chain Assembly Mechanical Advantage and Chain Tension</t>
  </si>
  <si>
    <t>Minimum Pin Diameter</t>
  </si>
  <si>
    <t>Piston Rod Area at Pin</t>
  </si>
  <si>
    <t>Stress on Piston Rod at Area</t>
  </si>
  <si>
    <t>Chosen Pin Diameter</t>
  </si>
  <si>
    <t>Machinability Check</t>
  </si>
  <si>
    <t>Pin Hole Depth</t>
  </si>
  <si>
    <t>Nut Thickness for Chosen Pin</t>
  </si>
  <si>
    <t>Hole Diameter to Depth Ratio</t>
  </si>
  <si>
    <t>Diameter to Depth Ratio</t>
  </si>
  <si>
    <t>Reservior Piston Rod Stay Pin Thickness</t>
  </si>
  <si>
    <t>Wash Piston Rod Stay Pin Thickness</t>
  </si>
  <si>
    <t>Feasible but Challenging. Could Possibly be Machined from both sides if needed</t>
  </si>
  <si>
    <t>Based on Dimensions of Reservior Piston in CAD. Pins offset due to distance from center of piston support rods</t>
  </si>
  <si>
    <t>Minimum Spring ID</t>
  </si>
  <si>
    <t>Piston Compliance Springs</t>
  </si>
  <si>
    <t># of Springs</t>
  </si>
  <si>
    <t>Spring Travel</t>
  </si>
  <si>
    <t>Force Applied Load</t>
  </si>
  <si>
    <t>Span</t>
  </si>
  <si>
    <t>From NASA</t>
  </si>
  <si>
    <t>Fit 4 machines into one express locker</t>
  </si>
  <si>
    <t>Basics of Bending Stress part 2 - Moment of inertia (youtube.com)</t>
  </si>
  <si>
    <t>Bending Moment</t>
  </si>
  <si>
    <t>in-lb</t>
  </si>
  <si>
    <t>Shear Force</t>
  </si>
  <si>
    <t>Beam Stress &amp; Deflection | MechaniCalc</t>
  </si>
  <si>
    <t>Wash Chamber Access Hatch Calculations</t>
  </si>
  <si>
    <t>Beams - Supported at Both Ends - Continuous and Point Loads (engineeringtoolbox.com)</t>
  </si>
  <si>
    <t>https://engineering.purdue.edu/~ce474/Docs/DA6-BeamFormulas.pdf</t>
  </si>
  <si>
    <t>Bearing Bronze</t>
  </si>
  <si>
    <t>Fatigue Strength (psi)</t>
  </si>
  <si>
    <t>Yield Strength (psi)</t>
  </si>
  <si>
    <t>Constants Referenced</t>
  </si>
  <si>
    <t>Coeff of Friction Lubricated SS on Bearing Bronze</t>
  </si>
  <si>
    <t>bronze 932 Product Guide from Online Metals</t>
  </si>
  <si>
    <t>Nook Industries: PowerAc Precision Acme Screw Assemblies</t>
  </si>
  <si>
    <t>Inventor Tutorials</t>
  </si>
  <si>
    <t>Using Tube &amp; Pipe in Inventor Professional 2021 | Autodesk Virtual Academy (youtube.com)</t>
  </si>
  <si>
    <t>Pipe Routing</t>
  </si>
  <si>
    <t>Wire Routing</t>
  </si>
  <si>
    <t>Autodesk Inventor - Cable Routing (youtube.com)</t>
  </si>
  <si>
    <t>AUTODESK INVENTOR TUTORIAL || ROLLER CHAIN COMMAND (youtube.com)</t>
  </si>
  <si>
    <t>Roller Chain</t>
  </si>
  <si>
    <t>(3) Tutorial Inventor - 143 DA - POWER TRANSMISSION - YouTube</t>
  </si>
  <si>
    <t>Power Transmission Design Accelerator</t>
  </si>
  <si>
    <t>Inventor 2014 Help: Frame Analysis (autodesk.com)</t>
  </si>
  <si>
    <t>Frame Analysis FEA</t>
  </si>
  <si>
    <t>Inventor 2022 Help | Skeletal Modeling | Autodesk</t>
  </si>
  <si>
    <t>Skeletal Modeling</t>
  </si>
  <si>
    <t>Sketch Blocks</t>
  </si>
  <si>
    <t>Autodesk Inventor 2013 - Sketch Blocks (youtube.com)</t>
  </si>
  <si>
    <t>ACME Screw Strength</t>
  </si>
  <si>
    <t>Beam Calculations</t>
  </si>
  <si>
    <t>Section Modulus Equations and Calculators Common Shapes (engineersedge.com)</t>
  </si>
  <si>
    <t>Section Modulus</t>
  </si>
  <si>
    <t>Allowable Piston Travel &amp; Chamber Top Travel</t>
  </si>
  <si>
    <t>Motor RPM</t>
  </si>
  <si>
    <t>Motor Gear Ratio</t>
  </si>
  <si>
    <t>Drive Chain Ratio</t>
  </si>
  <si>
    <t>revolutions/in</t>
  </si>
  <si>
    <t>Power Screw Speed Ratio</t>
  </si>
  <si>
    <t>Screw Drive Speed</t>
  </si>
  <si>
    <t>Linear Speed</t>
  </si>
  <si>
    <t>in/min</t>
  </si>
  <si>
    <t>Plate Thickness</t>
  </si>
  <si>
    <t>Number of Supporting Plates</t>
  </si>
  <si>
    <t>Required Section Modulus (S.S.)</t>
  </si>
  <si>
    <t>Material Shear Strength</t>
  </si>
  <si>
    <t>Minimum Hatch Support Height</t>
  </si>
  <si>
    <t>Effective Support Thickness</t>
  </si>
  <si>
    <t>Beam Dimensions</t>
  </si>
  <si>
    <t>Overestimate of span since design limit is 8.5. Hatch Span will be significantly less</t>
  </si>
  <si>
    <t>Thickness of Hatch Beams</t>
  </si>
  <si>
    <t>Minimum Pin Diameter for Bearing Stress</t>
  </si>
  <si>
    <t>Minimum Pin Diameter for Shear Stress</t>
  </si>
  <si>
    <t>N</t>
  </si>
  <si>
    <t>lfb2N</t>
  </si>
  <si>
    <t>Chain Working Tension</t>
  </si>
  <si>
    <t>Reservior Thrust Arm</t>
  </si>
  <si>
    <t>Wash Thrust Arm</t>
  </si>
  <si>
    <t>Driving Sprocket Size</t>
  </si>
  <si>
    <t>Nm</t>
  </si>
  <si>
    <t>Watt = 0.105*Nm*rpm</t>
  </si>
  <si>
    <t>rpm</t>
  </si>
  <si>
    <t>rad/s</t>
  </si>
  <si>
    <t>watts</t>
  </si>
  <si>
    <t>Volts</t>
  </si>
  <si>
    <t>Amps</t>
  </si>
  <si>
    <t>Motor Speed Estimate</t>
  </si>
  <si>
    <t>Required Nut Length</t>
  </si>
  <si>
    <t>Normal Reaction Force on Nut</t>
  </si>
  <si>
    <t>Not breaking into component forces, using normal as a ballpark estimate/assuming overbuilt</t>
  </si>
  <si>
    <t>Hatch Beam Dimensions</t>
  </si>
  <si>
    <t>Hatch Frame Required Moment of Inertia</t>
  </si>
  <si>
    <t>Assumed O-Ring Crush Force for Sealing</t>
  </si>
  <si>
    <t>Additional force being applied by user to seal hatch O-Rings</t>
  </si>
  <si>
    <t>Diameter of Piston Rod</t>
  </si>
  <si>
    <t>Length of Nut Supported by Pin</t>
  </si>
  <si>
    <t>Finding Interference Height</t>
  </si>
  <si>
    <t>From Hatch to bottom of Wash Chamber</t>
  </si>
  <si>
    <t>Wash Piston</t>
  </si>
  <si>
    <t>Reservior Piston</t>
  </si>
  <si>
    <t>total</t>
  </si>
  <si>
    <t>Max Piston Travel</t>
  </si>
  <si>
    <t>Top Piston Travel Allowance</t>
  </si>
  <si>
    <t>Wash Chamber Length</t>
  </si>
  <si>
    <t>Wash Piston Rod Length</t>
  </si>
  <si>
    <t>measured from top of piston head to bottom of thrust arm</t>
  </si>
  <si>
    <t>Reservior Piston Rod Length</t>
  </si>
  <si>
    <t>Rod Diameter at O Ring</t>
  </si>
  <si>
    <t>Cross Sectional Area</t>
  </si>
  <si>
    <t>Stress at Location</t>
  </si>
  <si>
    <t>Known based on component sizing</t>
  </si>
  <si>
    <t>Thrust Beam Span (Wash and Reservior)</t>
  </si>
  <si>
    <t>Thickness of Frame Component</t>
  </si>
  <si>
    <t>Frame Pin Diameter</t>
  </si>
  <si>
    <t>Frame Pin Support Size</t>
  </si>
  <si>
    <t>Required Hatch Pin Thickness</t>
  </si>
  <si>
    <t>Thickness Offset from Pin Hole</t>
  </si>
  <si>
    <t>Chosen Thickness</t>
  </si>
  <si>
    <t>Frame Pin Reinforcement Thickness</t>
  </si>
  <si>
    <t>ACME Loading Calcs</t>
  </si>
  <si>
    <t>2.5D</t>
  </si>
  <si>
    <t>Max height for loading on Threads</t>
  </si>
  <si>
    <t>Major Diameter</t>
  </si>
  <si>
    <t>Minor Diameter</t>
  </si>
  <si>
    <t>% Loaded Threads</t>
  </si>
  <si>
    <t>Height</t>
  </si>
  <si>
    <t>Yield Strength</t>
  </si>
  <si>
    <t>C360 Brass</t>
  </si>
  <si>
    <t>https://www.onlinemetals.com/en/product-guide/alloy/360</t>
  </si>
  <si>
    <t>https://www.machiningdoctor.com/threadinfo-acme/?tid=5004</t>
  </si>
  <si>
    <t>Shear Strength</t>
  </si>
  <si>
    <t>Pitch</t>
  </si>
  <si>
    <t>Area/Thread for Shear</t>
  </si>
  <si>
    <t>Area/Thread for Pressure</t>
  </si>
  <si>
    <t>in2/inh</t>
  </si>
  <si>
    <t>threads/inh</t>
  </si>
  <si>
    <t>Nut Height</t>
  </si>
  <si>
    <t>Loaded Nut Height</t>
  </si>
  <si>
    <t>Shear Loaded</t>
  </si>
  <si>
    <t>inh</t>
  </si>
  <si>
    <t>Number of engaged teeth</t>
  </si>
  <si>
    <t>threads</t>
  </si>
  <si>
    <t>Moment of inertia from spinning calc</t>
  </si>
  <si>
    <t>Experience Screw Force</t>
  </si>
  <si>
    <t># of Nuts per Arm</t>
  </si>
  <si>
    <t>Radius of Screw to Center</t>
  </si>
  <si>
    <t>Pitch Diameter</t>
  </si>
  <si>
    <t>Anectdotes</t>
  </si>
  <si>
    <t>(Ballpark)</t>
  </si>
  <si>
    <t>Horizontal Loading Force</t>
  </si>
  <si>
    <t>Radius of Pitch Diameter</t>
  </si>
  <si>
    <t>Moment 1</t>
  </si>
  <si>
    <t>Moment 2</t>
  </si>
  <si>
    <t>Moment 3</t>
  </si>
  <si>
    <t>Moment 4</t>
  </si>
  <si>
    <t>Short Distance</t>
  </si>
  <si>
    <t>Long Distance</t>
  </si>
  <si>
    <t>in-lbf</t>
  </si>
  <si>
    <t>ft-lbf</t>
  </si>
  <si>
    <t>EQ Force at Frame</t>
  </si>
  <si>
    <t>Vertical Force due to Reinforcement</t>
  </si>
  <si>
    <t>lb/in2</t>
  </si>
  <si>
    <t>in3</t>
  </si>
  <si>
    <t>Top Bearing Thickness</t>
  </si>
  <si>
    <t>Strut Thickness</t>
  </si>
  <si>
    <t>Strut Width</t>
  </si>
  <si>
    <t>Hole Diameter</t>
  </si>
  <si>
    <t>Pin Cross Section Area</t>
  </si>
  <si>
    <t>Holding Pin Calcs</t>
  </si>
  <si>
    <t>Check Strut Cross Section</t>
  </si>
  <si>
    <t>Pin Cross Section Area for Shear</t>
  </si>
  <si>
    <t>Stress</t>
  </si>
  <si>
    <t>Strut Cross Section Area at Hole</t>
  </si>
  <si>
    <t>Width</t>
  </si>
  <si>
    <t>Max Achievable Piston Pressure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</si>
</sst>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1"/>
      <color theme="1"/>
      <name val="Arial"/>
      <family val="2"/>
    </font>
    <font>
      <u/>
      <sz val="11"/>
      <color theme="10"/>
      <name val="Aptos Narrow"/>
      <family val="2"/>
      <scheme val="minor"/>
    </font>
  </fonts>
  <fills count="11">
    <fill>
      <patternFill patternType="none"/>
    </fill>
    <fill>
      <patternFill patternType="gray125"/>
    </fill>
    <fill>
      <patternFill patternType="solid">
        <fgColor rgb="FF996633"/>
        <bgColor indexed="64"/>
      </patternFill>
    </fill>
    <fill>
      <patternFill patternType="solid">
        <fgColor theme="7"/>
        <bgColor indexed="64"/>
      </patternFill>
    </fill>
    <fill>
      <patternFill patternType="solid">
        <fgColor theme="9"/>
        <bgColor indexed="64"/>
      </patternFill>
    </fill>
    <fill>
      <patternFill patternType="solid">
        <fgColor rgb="FFFFFF00"/>
        <bgColor indexed="64"/>
      </patternFill>
    </fill>
    <fill>
      <patternFill patternType="solid">
        <fgColor theme="1"/>
        <bgColor indexed="64"/>
      </patternFill>
    </fill>
    <fill>
      <patternFill patternType="solid">
        <fgColor theme="1" tint="0.499984740745262"/>
        <bgColor indexed="64"/>
      </patternFill>
    </fill>
    <fill>
      <patternFill patternType="solid">
        <fgColor theme="2" tint="-0.499984740745262"/>
        <bgColor indexed="64"/>
      </patternFill>
    </fill>
    <fill>
      <patternFill patternType="solid">
        <fgColor rgb="FF92D050"/>
        <bgColor indexed="64"/>
      </patternFill>
    </fill>
    <fill>
      <patternFill patternType="solid">
        <fgColor theme="0" tint="-0.249977111117893"/>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diagonal/>
    </border>
  </borders>
  <cellStyleXfs count="2">
    <xf numFmtId="0" fontId="0" fillId="0" borderId="0"/>
    <xf numFmtId="0" fontId="2" fillId="0" borderId="0" applyNumberFormat="0" applyFill="0" applyBorder="0" applyAlignment="0" applyProtection="0"/>
  </cellStyleXfs>
  <cellXfs count="58">
    <xf numFmtId="0" fontId="0" fillId="0" borderId="0" xfId="0"/>
    <xf numFmtId="0" fontId="0" fillId="2" borderId="0" xfId="0" applyFill="1"/>
    <xf numFmtId="0" fontId="1" fillId="0" borderId="0" xfId="0" applyFont="1" applyAlignment="1">
      <alignment vertical="center"/>
    </xf>
    <xf numFmtId="0" fontId="2" fillId="0" borderId="0" xfId="1"/>
    <xf numFmtId="9" fontId="0" fillId="0" borderId="0" xfId="0" applyNumberFormat="1"/>
    <xf numFmtId="0" fontId="0" fillId="0" borderId="1" xfId="0" applyBorder="1"/>
    <xf numFmtId="0" fontId="0" fillId="5" borderId="1" xfId="0" applyFill="1" applyBorder="1"/>
    <xf numFmtId="0" fontId="0" fillId="3" borderId="1" xfId="0" applyFill="1" applyBorder="1"/>
    <xf numFmtId="0" fontId="0" fillId="2" borderId="1" xfId="0" applyFill="1" applyBorder="1"/>
    <xf numFmtId="2" fontId="0" fillId="5" borderId="1" xfId="0" applyNumberFormat="1" applyFill="1" applyBorder="1"/>
    <xf numFmtId="0" fontId="0" fillId="0" borderId="5" xfId="0" applyBorder="1"/>
    <xf numFmtId="0" fontId="0" fillId="0" borderId="6" xfId="0" applyBorder="1"/>
    <xf numFmtId="16" fontId="0" fillId="0" borderId="6" xfId="0" applyNumberFormat="1" applyBorder="1"/>
    <xf numFmtId="0" fontId="0" fillId="6" borderId="5" xfId="0" applyFill="1" applyBorder="1"/>
    <xf numFmtId="0" fontId="0" fillId="7" borderId="5" xfId="0" applyFill="1" applyBorder="1"/>
    <xf numFmtId="0" fontId="0" fillId="7" borderId="1" xfId="0" applyFill="1" applyBorder="1"/>
    <xf numFmtId="0" fontId="0" fillId="7" borderId="6" xfId="0" applyFill="1" applyBorder="1"/>
    <xf numFmtId="2" fontId="0" fillId="7" borderId="1" xfId="0" applyNumberFormat="1" applyFill="1" applyBorder="1"/>
    <xf numFmtId="0" fontId="0" fillId="7" borderId="7" xfId="0" applyFill="1" applyBorder="1"/>
    <xf numFmtId="0" fontId="0" fillId="7" borderId="8" xfId="0" applyFill="1" applyBorder="1"/>
    <xf numFmtId="0" fontId="0" fillId="7" borderId="9" xfId="0" applyFill="1" applyBorder="1"/>
    <xf numFmtId="0" fontId="0" fillId="6" borderId="1" xfId="0" applyFill="1" applyBorder="1"/>
    <xf numFmtId="0" fontId="0" fillId="6" borderId="6" xfId="0" applyFill="1" applyBorder="1"/>
    <xf numFmtId="0" fontId="0" fillId="0" borderId="7" xfId="0" applyBorder="1"/>
    <xf numFmtId="0" fontId="0" fillId="3" borderId="2" xfId="0" applyFill="1" applyBorder="1" applyAlignment="1">
      <alignment horizontal="center"/>
    </xf>
    <xf numFmtId="0" fontId="0" fillId="3" borderId="3" xfId="0" applyFill="1" applyBorder="1" applyAlignment="1">
      <alignment horizontal="center"/>
    </xf>
    <xf numFmtId="0" fontId="0" fillId="3" borderId="4" xfId="0" applyFill="1" applyBorder="1" applyAlignment="1">
      <alignment horizontal="center"/>
    </xf>
    <xf numFmtId="0" fontId="0" fillId="4" borderId="1" xfId="0" applyFill="1" applyBorder="1"/>
    <xf numFmtId="0" fontId="0" fillId="8" borderId="7" xfId="0" applyFill="1" applyBorder="1"/>
    <xf numFmtId="0" fontId="0" fillId="8" borderId="8" xfId="0" applyFill="1" applyBorder="1"/>
    <xf numFmtId="0" fontId="0" fillId="0" borderId="9" xfId="0" applyBorder="1"/>
    <xf numFmtId="0" fontId="0" fillId="0" borderId="2" xfId="0" applyBorder="1"/>
    <xf numFmtId="0" fontId="0" fillId="0" borderId="3" xfId="0" applyBorder="1"/>
    <xf numFmtId="0" fontId="0" fillId="0" borderId="4" xfId="0" applyBorder="1"/>
    <xf numFmtId="0" fontId="0" fillId="0" borderId="8" xfId="0" applyBorder="1"/>
    <xf numFmtId="0" fontId="0" fillId="0" borderId="13" xfId="0" applyBorder="1"/>
    <xf numFmtId="0" fontId="0" fillId="0" borderId="14" xfId="0" applyBorder="1"/>
    <xf numFmtId="0" fontId="0" fillId="0" borderId="15" xfId="0" applyBorder="1"/>
    <xf numFmtId="0" fontId="0" fillId="0" borderId="10" xfId="0" applyBorder="1" applyAlignment="1">
      <alignment horizontal="center"/>
    </xf>
    <xf numFmtId="0" fontId="0" fillId="0" borderId="11" xfId="0" applyBorder="1" applyAlignment="1">
      <alignment horizontal="center"/>
    </xf>
    <xf numFmtId="0" fontId="0" fillId="0" borderId="12" xfId="0" applyBorder="1" applyAlignment="1">
      <alignment horizontal="center"/>
    </xf>
    <xf numFmtId="2" fontId="0" fillId="0" borderId="1" xfId="0" applyNumberFormat="1" applyBorder="1"/>
    <xf numFmtId="9" fontId="0" fillId="0" borderId="1" xfId="0" applyNumberFormat="1" applyBorder="1"/>
    <xf numFmtId="9" fontId="0" fillId="0" borderId="6" xfId="0" applyNumberFormat="1" applyBorder="1"/>
    <xf numFmtId="2" fontId="0" fillId="0" borderId="0" xfId="0" applyNumberFormat="1"/>
    <xf numFmtId="0" fontId="0" fillId="5" borderId="0" xfId="0" applyFill="1"/>
    <xf numFmtId="0" fontId="0" fillId="6" borderId="0" xfId="0" applyFill="1"/>
    <xf numFmtId="0" fontId="0" fillId="6" borderId="2" xfId="0" applyFill="1" applyBorder="1"/>
    <xf numFmtId="0" fontId="0" fillId="6" borderId="3" xfId="0" applyFill="1" applyBorder="1"/>
    <xf numFmtId="0" fontId="0" fillId="6" borderId="4" xfId="0" applyFill="1" applyBorder="1"/>
    <xf numFmtId="0" fontId="0" fillId="6" borderId="7" xfId="0" applyFill="1" applyBorder="1"/>
    <xf numFmtId="0" fontId="0" fillId="6" borderId="8" xfId="0" applyFill="1" applyBorder="1"/>
    <xf numFmtId="0" fontId="0" fillId="6" borderId="9" xfId="0" applyFill="1" applyBorder="1"/>
    <xf numFmtId="0" fontId="0" fillId="6" borderId="16" xfId="0" applyFill="1" applyBorder="1"/>
    <xf numFmtId="0" fontId="0" fillId="0" borderId="16" xfId="0" applyBorder="1"/>
    <xf numFmtId="0" fontId="0" fillId="9" borderId="1" xfId="0" applyFill="1" applyBorder="1"/>
    <xf numFmtId="0" fontId="0" fillId="9" borderId="0" xfId="0" applyFill="1"/>
    <xf numFmtId="0" fontId="0" fillId="10" borderId="0" xfId="0" applyFill="1"/>
  </cellXfs>
  <cellStyles count="2">
    <cellStyle name="Hyperlink" xfId="1" builtinId="8"/>
    <cellStyle name="Normal" xfId="0" builtinId="0"/>
  </cellStyles>
  <dxfs count="0"/>
  <tableStyles count="0" defaultTableStyle="TableStyleMedium2" defaultPivotStyle="PivotStyleLight16"/>
  <colors>
    <mruColors>
      <color rgb="FF9966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7</xdr:col>
      <xdr:colOff>495300</xdr:colOff>
      <xdr:row>3</xdr:row>
      <xdr:rowOff>9525</xdr:rowOff>
    </xdr:from>
    <xdr:to>
      <xdr:col>11</xdr:col>
      <xdr:colOff>14605</xdr:colOff>
      <xdr:row>15</xdr:row>
      <xdr:rowOff>104775</xdr:rowOff>
    </xdr:to>
    <xdr:pic>
      <xdr:nvPicPr>
        <xdr:cNvPr id="2" name="Picture 1">
          <a:extLst>
            <a:ext uri="{FF2B5EF4-FFF2-40B4-BE49-F238E27FC236}">
              <a16:creationId xmlns:a16="http://schemas.microsoft.com/office/drawing/2014/main" id="{71F97A4D-632C-38AF-93D1-DEAFEDB2B53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l="3219" t="11851" r="50625"/>
        <a:stretch>
          <a:fillRect/>
        </a:stretch>
      </xdr:blipFill>
      <xdr:spPr>
        <a:xfrm>
          <a:off x="7253288" y="552450"/>
          <a:ext cx="2110105" cy="22669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572671</xdr:colOff>
      <xdr:row>28</xdr:row>
      <xdr:rowOff>94735</xdr:rowOff>
    </xdr:from>
    <xdr:to>
      <xdr:col>15</xdr:col>
      <xdr:colOff>467471</xdr:colOff>
      <xdr:row>47</xdr:row>
      <xdr:rowOff>48258</xdr:rowOff>
    </xdr:to>
    <xdr:pic>
      <xdr:nvPicPr>
        <xdr:cNvPr id="6" name="Picture 5">
          <a:extLst>
            <a:ext uri="{FF2B5EF4-FFF2-40B4-BE49-F238E27FC236}">
              <a16:creationId xmlns:a16="http://schemas.microsoft.com/office/drawing/2014/main" id="{1FFB077A-FA92-50EC-B963-730667BA4175}"/>
            </a:ext>
          </a:extLst>
        </xdr:cNvPr>
        <xdr:cNvPicPr>
          <a:picLocks noChangeAspect="1"/>
        </xdr:cNvPicPr>
      </xdr:nvPicPr>
      <xdr:blipFill>
        <a:blip xmlns:r="http://schemas.openxmlformats.org/officeDocument/2006/relationships" r:embed="rId1"/>
        <a:stretch>
          <a:fillRect/>
        </a:stretch>
      </xdr:blipFill>
      <xdr:spPr>
        <a:xfrm>
          <a:off x="11466051" y="12953486"/>
          <a:ext cx="5938480" cy="3437119"/>
        </a:xfrm>
        <a:prstGeom prst="rect">
          <a:avLst/>
        </a:prstGeom>
      </xdr:spPr>
    </xdr:pic>
    <xdr:clientData/>
  </xdr:twoCellAnchor>
  <xdr:twoCellAnchor editAs="oneCell">
    <xdr:from>
      <xdr:col>9</xdr:col>
      <xdr:colOff>624683</xdr:colOff>
      <xdr:row>28</xdr:row>
      <xdr:rowOff>48352</xdr:rowOff>
    </xdr:from>
    <xdr:to>
      <xdr:col>17</xdr:col>
      <xdr:colOff>100219</xdr:colOff>
      <xdr:row>45</xdr:row>
      <xdr:rowOff>174028</xdr:rowOff>
    </xdr:to>
    <xdr:pic>
      <xdr:nvPicPr>
        <xdr:cNvPr id="2" name="Picture 1">
          <a:extLst>
            <a:ext uri="{FF2B5EF4-FFF2-40B4-BE49-F238E27FC236}">
              <a16:creationId xmlns:a16="http://schemas.microsoft.com/office/drawing/2014/main" id="{4134BA38-A402-C46A-93AE-261EFD3FE30B}"/>
            </a:ext>
          </a:extLst>
        </xdr:cNvPr>
        <xdr:cNvPicPr>
          <a:picLocks noChangeAspect="1"/>
        </xdr:cNvPicPr>
      </xdr:nvPicPr>
      <xdr:blipFill>
        <a:blip xmlns:r="http://schemas.openxmlformats.org/officeDocument/2006/relationships" r:embed="rId2"/>
        <a:stretch>
          <a:fillRect/>
        </a:stretch>
      </xdr:blipFill>
      <xdr:spPr>
        <a:xfrm>
          <a:off x="14231826" y="17866906"/>
          <a:ext cx="8388217" cy="3279132"/>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onlinemetals.com/en/product-guide/alloy/932" TargetMode="External"/><Relationship Id="rId2" Type="http://schemas.openxmlformats.org/officeDocument/2006/relationships/hyperlink" Target="https://www.youtube.com/watch?v=O2wF3Xh-JAM&amp;list=PLJU5oCuGIGUovQ2s4dB8k4R5ZZtM5oxUp&amp;index=5&amp;ab_channel=PrometheusEngineeringGroup" TargetMode="External"/><Relationship Id="rId1" Type="http://schemas.openxmlformats.org/officeDocument/2006/relationships/hyperlink" Target="https://www.engineersedge.com/coeffients_of_friction.htm"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hyperlink" Target="http://chain-guide.com/basics/2-1-2-engagement-with-sprockets.html" TargetMode="External"/><Relationship Id="rId1" Type="http://schemas.openxmlformats.org/officeDocument/2006/relationships/hyperlink" Target="https://engineerexcel.com/acme-thread-calculations/" TargetMode="Externa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onlinemetals.com/en/product-guide/alloy/360" TargetMode="External"/><Relationship Id="rId1" Type="http://schemas.openxmlformats.org/officeDocument/2006/relationships/hyperlink" Target="https://www.machiningdoctor.com/threadinfo-acme/?tid=5004"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www.youtube.com/watch?v=qejdeREv4yQ&amp;list=PL992BCE4AB35AD129&amp;index=5&amp;ab_channel=TEDCFPublishing" TargetMode="External"/><Relationship Id="rId3" Type="http://schemas.openxmlformats.org/officeDocument/2006/relationships/hyperlink" Target="https://www.youtube.com/watch?v=-boTG63iuU8&amp;ab_channel=InventorTutorials" TargetMode="External"/><Relationship Id="rId7" Type="http://schemas.openxmlformats.org/officeDocument/2006/relationships/hyperlink" Target="https://help.autodesk.com/view/INVNTOR/2022/ENU/?guid=GUID-D96F0063-3813-4EED-98FA-C34D3946265C" TargetMode="External"/><Relationship Id="rId12" Type="http://schemas.openxmlformats.org/officeDocument/2006/relationships/hyperlink" Target="https://engineering.purdue.edu/~ce474/Docs/DA6-BeamFormulas.pdf" TargetMode="External"/><Relationship Id="rId2" Type="http://schemas.openxmlformats.org/officeDocument/2006/relationships/hyperlink" Target="https://www.youtube.com/watch?v=IEURRpiXw0A&amp;ab_channel=KETIVTechnologies" TargetMode="External"/><Relationship Id="rId1" Type="http://schemas.openxmlformats.org/officeDocument/2006/relationships/hyperlink" Target="https://s3.amazonaws.com/www.motionusa.com/nook/AcmeScrewsandLeadScrews/PowerAc_Technical_Introduction.pdf" TargetMode="External"/><Relationship Id="rId6" Type="http://schemas.openxmlformats.org/officeDocument/2006/relationships/hyperlink" Target="https://help.autodesk.com/view/INVNTOR/2014/ENU/?guid=GUID-77BAE285-4803-4DCA-9AE0-919C7A862D4C" TargetMode="External"/><Relationship Id="rId11" Type="http://schemas.openxmlformats.org/officeDocument/2006/relationships/hyperlink" Target="https://www.engineeringtoolbox.com/beam-stress-deflection-d_1312.html" TargetMode="External"/><Relationship Id="rId5" Type="http://schemas.openxmlformats.org/officeDocument/2006/relationships/hyperlink" Target="https://www.youtube.com/watch?v=XMdkNPOzI-g&amp;ab_channel=ConstantinStancescu" TargetMode="External"/><Relationship Id="rId10" Type="http://schemas.openxmlformats.org/officeDocument/2006/relationships/hyperlink" Target="https://mechanicalc.com/reference/beam-analysis" TargetMode="External"/><Relationship Id="rId4" Type="http://schemas.openxmlformats.org/officeDocument/2006/relationships/hyperlink" Target="https://www.youtube.com/watch?v=QqAxnKq4804&amp;ab_channel=CADwave" TargetMode="External"/><Relationship Id="rId9" Type="http://schemas.openxmlformats.org/officeDocument/2006/relationships/hyperlink" Target="https://www.engineersedge.com/material_science/section_modulus_12893.ht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32333B-A9BC-44A5-9DD5-8238FAA8AC6A}">
  <dimension ref="C2:Q55"/>
  <sheetViews>
    <sheetView tabSelected="1" topLeftCell="B1" workbookViewId="0">
      <selection activeCell="H20" sqref="H20"/>
    </sheetView>
  </sheetViews>
  <sheetFormatPr defaultRowHeight="14.4" x14ac:dyDescent="0.3"/>
  <cols>
    <col min="2" max="2" width="17" customWidth="1"/>
    <col min="3" max="3" width="32.21875" customWidth="1"/>
    <col min="12" max="12" width="8.109375" customWidth="1"/>
    <col min="13" max="13" width="19.109375" customWidth="1"/>
    <col min="14" max="14" width="18.77734375" customWidth="1"/>
    <col min="15" max="15" width="18.44140625" customWidth="1"/>
    <col min="16" max="16" width="14.77734375" customWidth="1"/>
  </cols>
  <sheetData>
    <row r="2" spans="3:17" x14ac:dyDescent="0.3">
      <c r="M2" t="s">
        <v>2</v>
      </c>
    </row>
    <row r="3" spans="3:17" x14ac:dyDescent="0.3">
      <c r="C3" t="s">
        <v>3</v>
      </c>
      <c r="N3" t="s">
        <v>203</v>
      </c>
      <c r="O3" t="s">
        <v>204</v>
      </c>
      <c r="P3" t="s">
        <v>22</v>
      </c>
      <c r="Q3" t="s">
        <v>16</v>
      </c>
    </row>
    <row r="4" spans="3:17" x14ac:dyDescent="0.3">
      <c r="C4" t="s">
        <v>15</v>
      </c>
      <c r="D4" t="s">
        <v>14</v>
      </c>
      <c r="E4" t="s">
        <v>5</v>
      </c>
      <c r="F4" t="s">
        <v>248</v>
      </c>
      <c r="M4" t="s">
        <v>9</v>
      </c>
      <c r="N4">
        <v>34800</v>
      </c>
      <c r="O4">
        <v>34800</v>
      </c>
      <c r="P4">
        <v>28000000</v>
      </c>
      <c r="Q4" t="s">
        <v>17</v>
      </c>
    </row>
    <row r="5" spans="3:17" x14ac:dyDescent="0.3">
      <c r="C5" t="s">
        <v>0</v>
      </c>
      <c r="D5">
        <v>600</v>
      </c>
      <c r="E5" t="s">
        <v>4</v>
      </c>
      <c r="F5">
        <f>AppliedForceNormal*lfb2N</f>
        <v>2668.9332000000004</v>
      </c>
      <c r="M5" t="s">
        <v>202</v>
      </c>
      <c r="O5">
        <v>18100</v>
      </c>
      <c r="P5">
        <v>14500000</v>
      </c>
      <c r="Q5" s="3" t="s">
        <v>207</v>
      </c>
    </row>
    <row r="6" spans="3:17" x14ac:dyDescent="0.3">
      <c r="C6" t="s">
        <v>6</v>
      </c>
      <c r="D6" t="s">
        <v>11</v>
      </c>
      <c r="E6" t="s">
        <v>7</v>
      </c>
    </row>
    <row r="7" spans="3:17" x14ac:dyDescent="0.3">
      <c r="C7" t="s">
        <v>10</v>
      </c>
      <c r="D7">
        <v>2</v>
      </c>
      <c r="E7" t="s">
        <v>11</v>
      </c>
    </row>
    <row r="8" spans="3:17" x14ac:dyDescent="0.3">
      <c r="C8" t="s">
        <v>24</v>
      </c>
    </row>
    <row r="9" spans="3:17" x14ac:dyDescent="0.3">
      <c r="C9" t="s">
        <v>12</v>
      </c>
    </row>
    <row r="10" spans="3:17" x14ac:dyDescent="0.3">
      <c r="C10" t="s">
        <v>67</v>
      </c>
      <c r="D10">
        <v>4</v>
      </c>
      <c r="E10" t="s">
        <v>71</v>
      </c>
    </row>
    <row r="11" spans="3:17" x14ac:dyDescent="0.3">
      <c r="C11" t="s">
        <v>68</v>
      </c>
    </row>
    <row r="12" spans="3:17" x14ac:dyDescent="0.3">
      <c r="C12" t="s">
        <v>69</v>
      </c>
      <c r="D12">
        <v>21.45</v>
      </c>
      <c r="E12" t="s">
        <v>71</v>
      </c>
      <c r="M12" t="s">
        <v>205</v>
      </c>
    </row>
    <row r="13" spans="3:17" x14ac:dyDescent="0.3">
      <c r="C13" t="s">
        <v>70</v>
      </c>
      <c r="D13">
        <v>8.5</v>
      </c>
      <c r="E13" t="s">
        <v>71</v>
      </c>
      <c r="N13" t="s">
        <v>14</v>
      </c>
      <c r="O13" t="s">
        <v>5</v>
      </c>
    </row>
    <row r="14" spans="3:17" x14ac:dyDescent="0.3">
      <c r="C14" t="s">
        <v>72</v>
      </c>
      <c r="D14">
        <v>10.5</v>
      </c>
      <c r="E14" t="s">
        <v>71</v>
      </c>
      <c r="M14" t="s">
        <v>106</v>
      </c>
      <c r="N14">
        <v>14.7</v>
      </c>
      <c r="O14" t="s">
        <v>107</v>
      </c>
    </row>
    <row r="15" spans="3:17" x14ac:dyDescent="0.3">
      <c r="M15" t="s">
        <v>206</v>
      </c>
      <c r="N15">
        <v>0.19</v>
      </c>
      <c r="O15" t="s">
        <v>11</v>
      </c>
      <c r="P15" s="3" t="s">
        <v>88</v>
      </c>
    </row>
    <row r="16" spans="3:17" x14ac:dyDescent="0.3">
      <c r="M16" t="s">
        <v>249</v>
      </c>
      <c r="N16">
        <v>4.4482220000000003</v>
      </c>
    </row>
    <row r="22" spans="3:5" x14ac:dyDescent="0.3">
      <c r="C22" t="s">
        <v>192</v>
      </c>
    </row>
    <row r="23" spans="3:5" x14ac:dyDescent="0.3">
      <c r="C23" t="s">
        <v>69</v>
      </c>
      <c r="D23">
        <v>21.45</v>
      </c>
      <c r="E23" t="s">
        <v>71</v>
      </c>
    </row>
    <row r="24" spans="3:5" x14ac:dyDescent="0.3">
      <c r="C24" t="s">
        <v>70</v>
      </c>
      <c r="D24">
        <f>17.34</f>
        <v>17.34</v>
      </c>
      <c r="E24" t="s">
        <v>71</v>
      </c>
    </row>
    <row r="25" spans="3:5" x14ac:dyDescent="0.3">
      <c r="C25" t="s">
        <v>72</v>
      </c>
      <c r="D25">
        <v>21.1</v>
      </c>
      <c r="E25" t="s">
        <v>71</v>
      </c>
    </row>
    <row r="26" spans="3:5" x14ac:dyDescent="0.3">
      <c r="C26" t="s">
        <v>3</v>
      </c>
      <c r="D26" t="s">
        <v>193</v>
      </c>
    </row>
    <row r="33" spans="3:4" x14ac:dyDescent="0.3">
      <c r="D33" s="3" t="s">
        <v>194</v>
      </c>
    </row>
    <row r="48" spans="3:4" x14ac:dyDescent="0.3">
      <c r="C48" t="s">
        <v>43</v>
      </c>
      <c r="D48" t="s">
        <v>44</v>
      </c>
    </row>
    <row r="50" spans="3:13" x14ac:dyDescent="0.3">
      <c r="C50" t="s">
        <v>45</v>
      </c>
      <c r="D50" t="s">
        <v>14</v>
      </c>
      <c r="E50" t="s">
        <v>5</v>
      </c>
      <c r="F50" t="s">
        <v>46</v>
      </c>
      <c r="G50" t="s">
        <v>47</v>
      </c>
      <c r="L50" t="s">
        <v>48</v>
      </c>
      <c r="M50" t="s">
        <v>49</v>
      </c>
    </row>
    <row r="51" spans="3:13" x14ac:dyDescent="0.3">
      <c r="C51" t="s">
        <v>50</v>
      </c>
      <c r="D51">
        <v>7</v>
      </c>
      <c r="E51" t="s">
        <v>51</v>
      </c>
      <c r="F51" t="s">
        <v>52</v>
      </c>
      <c r="G51" t="s">
        <v>53</v>
      </c>
      <c r="L51" t="s">
        <v>9</v>
      </c>
    </row>
    <row r="52" spans="3:13" x14ac:dyDescent="0.3">
      <c r="C52" t="s">
        <v>54</v>
      </c>
      <c r="D52">
        <v>1</v>
      </c>
      <c r="E52" t="s">
        <v>55</v>
      </c>
      <c r="F52" t="s">
        <v>52</v>
      </c>
      <c r="G52" t="s">
        <v>56</v>
      </c>
      <c r="L52" t="s">
        <v>57</v>
      </c>
    </row>
    <row r="53" spans="3:13" x14ac:dyDescent="0.3">
      <c r="C53" t="s">
        <v>58</v>
      </c>
      <c r="D53">
        <v>10</v>
      </c>
      <c r="E53" t="s">
        <v>59</v>
      </c>
      <c r="F53" t="s">
        <v>52</v>
      </c>
    </row>
    <row r="54" spans="3:13" x14ac:dyDescent="0.3">
      <c r="C54" t="s">
        <v>60</v>
      </c>
      <c r="D54">
        <v>3</v>
      </c>
      <c r="E54" t="s">
        <v>61</v>
      </c>
      <c r="F54" t="s">
        <v>52</v>
      </c>
      <c r="G54" t="s">
        <v>62</v>
      </c>
      <c r="L54" t="s">
        <v>63</v>
      </c>
    </row>
    <row r="55" spans="3:13" x14ac:dyDescent="0.3">
      <c r="C55" t="s">
        <v>64</v>
      </c>
      <c r="D55">
        <v>16</v>
      </c>
      <c r="E55" t="s">
        <v>61</v>
      </c>
      <c r="F55" t="s">
        <v>52</v>
      </c>
      <c r="G55" t="s">
        <v>65</v>
      </c>
      <c r="L55" t="s">
        <v>66</v>
      </c>
    </row>
  </sheetData>
  <hyperlinks>
    <hyperlink ref="P15" r:id="rId1" display="https://www.engineersedge.com/coeffients_of_friction.htm" xr:uid="{B3F54E53-A1BA-4ED7-95AA-73578F3B63E2}"/>
    <hyperlink ref="D33" r:id="rId2" display="https://www.youtube.com/watch?v=O2wF3Xh-JAM&amp;list=PLJU5oCuGIGUovQ2s4dB8k4R5ZZtM5oxUp&amp;index=5&amp;ab_channel=PrometheusEngineeringGroup" xr:uid="{48DC56CE-9A92-4786-9F33-386D68889142}"/>
    <hyperlink ref="Q5" r:id="rId3" location="mechanical%20and%20chemical" display="https://www.onlinemetals.com/en/product-guide/alloy/932 - mechanical%20and%20chemical" xr:uid="{3E174F69-ECE4-4E84-8C1B-1BF3FA3B7BB4}"/>
  </hyperlinks>
  <pageMargins left="0.7" right="0.7" top="0.75" bottom="0.75" header="0.3" footer="0.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7F30C8-AEF8-4367-97CA-93B5B12A08F4}">
  <dimension ref="A1:AI56"/>
  <sheetViews>
    <sheetView topLeftCell="A2" zoomScale="85" zoomScaleNormal="85" workbookViewId="0">
      <selection activeCell="E41" sqref="E41"/>
    </sheetView>
  </sheetViews>
  <sheetFormatPr defaultRowHeight="14.4" x14ac:dyDescent="0.3"/>
  <cols>
    <col min="1" max="1" width="40.21875" customWidth="1"/>
    <col min="2" max="2" width="10.77734375" bestFit="1" customWidth="1"/>
    <col min="4" max="4" width="41.109375" customWidth="1"/>
    <col min="6" max="6" width="35.88671875" customWidth="1"/>
    <col min="8" max="8" width="5.77734375" customWidth="1"/>
    <col min="10" max="10" width="12.21875" customWidth="1"/>
    <col min="11" max="11" width="39.109375" customWidth="1"/>
    <col min="13" max="13" width="5.88671875" customWidth="1"/>
    <col min="16" max="16" width="31.109375" customWidth="1"/>
    <col min="18" max="18" width="8.77734375" customWidth="1"/>
    <col min="21" max="21" width="22.88671875" customWidth="1"/>
  </cols>
  <sheetData>
    <row r="1" spans="1:35" ht="15" thickBot="1" x14ac:dyDescent="0.35"/>
    <row r="2" spans="1:35" x14ac:dyDescent="0.3">
      <c r="A2" s="24" t="s">
        <v>121</v>
      </c>
      <c r="B2" s="25"/>
      <c r="C2" s="25"/>
      <c r="D2" s="26"/>
      <c r="F2" s="38" t="s">
        <v>147</v>
      </c>
      <c r="G2" s="39"/>
      <c r="H2" s="39"/>
      <c r="I2" s="40"/>
      <c r="K2" s="5" t="s">
        <v>170</v>
      </c>
      <c r="L2" s="5"/>
      <c r="M2" s="5"/>
      <c r="N2" s="5"/>
      <c r="P2" t="s">
        <v>262</v>
      </c>
    </row>
    <row r="3" spans="1:35" x14ac:dyDescent="0.3">
      <c r="A3" s="10" t="s">
        <v>131</v>
      </c>
      <c r="B3" s="5" t="s">
        <v>132</v>
      </c>
      <c r="C3" s="5"/>
      <c r="D3" s="11"/>
      <c r="F3" s="10" t="s">
        <v>108</v>
      </c>
      <c r="G3" s="5" t="s">
        <v>14</v>
      </c>
      <c r="H3" s="5" t="s">
        <v>5</v>
      </c>
      <c r="I3" s="11" t="s">
        <v>134</v>
      </c>
      <c r="K3" s="5"/>
      <c r="L3" s="5" t="s">
        <v>14</v>
      </c>
      <c r="M3" s="5" t="s">
        <v>5</v>
      </c>
      <c r="N3" s="5" t="s">
        <v>134</v>
      </c>
      <c r="Q3" t="s">
        <v>14</v>
      </c>
      <c r="R3" t="s">
        <v>5</v>
      </c>
      <c r="S3" t="s">
        <v>134</v>
      </c>
    </row>
    <row r="4" spans="1:35" ht="15" thickBot="1" x14ac:dyDescent="0.35">
      <c r="A4" s="10" t="s">
        <v>1</v>
      </c>
      <c r="B4" s="5" t="s">
        <v>130</v>
      </c>
      <c r="C4" s="5"/>
      <c r="D4" s="11"/>
      <c r="F4" s="10" t="s">
        <v>116</v>
      </c>
      <c r="G4" s="5" t="s">
        <v>135</v>
      </c>
      <c r="H4" s="5" t="s">
        <v>11</v>
      </c>
      <c r="I4" s="11"/>
      <c r="K4" s="5" t="s">
        <v>95</v>
      </c>
      <c r="L4" s="8">
        <f>B9</f>
        <v>300</v>
      </c>
      <c r="M4" s="5" t="s">
        <v>103</v>
      </c>
      <c r="N4" s="5"/>
      <c r="P4" t="s">
        <v>263</v>
      </c>
      <c r="Q4" s="1">
        <f>L5</f>
        <v>337.64090019706452</v>
      </c>
      <c r="R4" t="s">
        <v>103</v>
      </c>
      <c r="S4" t="s">
        <v>264</v>
      </c>
      <c r="W4" s="46"/>
      <c r="X4" s="46"/>
      <c r="Y4" s="46"/>
      <c r="Z4" s="46"/>
      <c r="AA4" s="46"/>
      <c r="AB4" s="46"/>
      <c r="AC4" s="46"/>
      <c r="AD4" s="46"/>
      <c r="AE4" s="46"/>
      <c r="AF4" s="46"/>
      <c r="AG4" s="46"/>
      <c r="AH4" s="46"/>
      <c r="AI4" s="46"/>
    </row>
    <row r="5" spans="1:35" x14ac:dyDescent="0.3">
      <c r="A5" s="10" t="s">
        <v>146</v>
      </c>
      <c r="B5" s="5"/>
      <c r="C5" s="5"/>
      <c r="D5" s="11"/>
      <c r="F5" s="10" t="s">
        <v>117</v>
      </c>
      <c r="G5" s="8">
        <f>SS303FatigueStrength</f>
        <v>34800</v>
      </c>
      <c r="H5" s="5"/>
      <c r="I5" s="11"/>
      <c r="K5" s="5" t="s">
        <v>97</v>
      </c>
      <c r="L5" s="7">
        <f>(L4/COS(G16))/COS(RADIANS(27))</f>
        <v>337.64090019706452</v>
      </c>
      <c r="M5" s="5" t="s">
        <v>103</v>
      </c>
      <c r="N5" s="5"/>
      <c r="W5" s="48"/>
      <c r="X5" s="48"/>
      <c r="Y5" s="49"/>
      <c r="Z5" s="46"/>
      <c r="AA5" s="47" t="s">
        <v>265</v>
      </c>
      <c r="AB5" s="48"/>
      <c r="AC5" s="48"/>
      <c r="AD5" s="49"/>
      <c r="AE5" s="46"/>
      <c r="AF5" s="47" t="s">
        <v>290</v>
      </c>
      <c r="AG5" s="48"/>
      <c r="AH5" s="48"/>
      <c r="AI5" s="49"/>
    </row>
    <row r="6" spans="1:35" x14ac:dyDescent="0.3">
      <c r="A6" s="13"/>
      <c r="B6" s="5" t="s">
        <v>14</v>
      </c>
      <c r="C6" s="5" t="s">
        <v>5</v>
      </c>
      <c r="D6" s="11" t="s">
        <v>129</v>
      </c>
      <c r="F6" s="10" t="s">
        <v>10</v>
      </c>
      <c r="G6" s="8">
        <f>FS</f>
        <v>2</v>
      </c>
      <c r="H6" s="5"/>
      <c r="I6" s="11"/>
      <c r="K6" s="5" t="s">
        <v>98</v>
      </c>
      <c r="L6" s="7">
        <f>SQRT((L5^2)-(L4^2))</f>
        <v>154.92377960108027</v>
      </c>
      <c r="M6" s="5" t="s">
        <v>103</v>
      </c>
      <c r="N6" s="5"/>
      <c r="W6" s="21" t="s">
        <v>14</v>
      </c>
      <c r="X6" s="21" t="s">
        <v>5</v>
      </c>
      <c r="Y6" s="22" t="s">
        <v>129</v>
      </c>
      <c r="Z6" s="46"/>
      <c r="AA6" s="13"/>
      <c r="AB6" s="21" t="s">
        <v>14</v>
      </c>
      <c r="AC6" s="21" t="s">
        <v>5</v>
      </c>
      <c r="AD6" s="22" t="s">
        <v>129</v>
      </c>
      <c r="AE6" s="46"/>
      <c r="AF6" s="13"/>
      <c r="AG6" s="21" t="s">
        <v>14</v>
      </c>
      <c r="AH6" s="21" t="s">
        <v>5</v>
      </c>
      <c r="AI6" s="22" t="s">
        <v>129</v>
      </c>
    </row>
    <row r="7" spans="1:35" x14ac:dyDescent="0.3">
      <c r="A7" s="10" t="s">
        <v>85</v>
      </c>
      <c r="B7" s="5" t="s">
        <v>84</v>
      </c>
      <c r="C7" s="5" t="s">
        <v>11</v>
      </c>
      <c r="D7" s="11" t="s">
        <v>11</v>
      </c>
      <c r="F7" s="10" t="s">
        <v>110</v>
      </c>
      <c r="G7" s="6" t="s">
        <v>111</v>
      </c>
      <c r="H7" s="5" t="s">
        <v>11</v>
      </c>
      <c r="I7" s="11"/>
      <c r="K7" s="5" t="s">
        <v>99</v>
      </c>
      <c r="L7" s="7">
        <f>L5*CoeffStaticFrictionBrassonSteelLubricated</f>
        <v>64.151771037442259</v>
      </c>
      <c r="M7" s="5" t="s">
        <v>103</v>
      </c>
      <c r="N7" s="5"/>
      <c r="W7" s="21">
        <v>700</v>
      </c>
      <c r="X7" s="21" t="s">
        <v>103</v>
      </c>
      <c r="Y7" s="22"/>
      <c r="Z7" s="46"/>
      <c r="AA7" s="13" t="s">
        <v>237</v>
      </c>
      <c r="AB7" s="21">
        <v>0.5</v>
      </c>
      <c r="AC7" s="21" t="s">
        <v>71</v>
      </c>
      <c r="AD7" s="22"/>
      <c r="AE7" s="46"/>
      <c r="AF7" s="13" t="s">
        <v>190</v>
      </c>
      <c r="AG7" s="21">
        <f>W7</f>
        <v>700</v>
      </c>
      <c r="AH7" s="21" t="s">
        <v>103</v>
      </c>
      <c r="AI7" s="22"/>
    </row>
    <row r="8" spans="1:35" x14ac:dyDescent="0.3">
      <c r="A8" s="10" t="s">
        <v>83</v>
      </c>
      <c r="B8" s="6">
        <v>2</v>
      </c>
      <c r="C8" s="5" t="s">
        <v>11</v>
      </c>
      <c r="D8" s="11" t="s">
        <v>11</v>
      </c>
      <c r="F8" s="10" t="s">
        <v>109</v>
      </c>
      <c r="G8" s="6">
        <v>0.5</v>
      </c>
      <c r="H8" s="5" t="s">
        <v>71</v>
      </c>
      <c r="I8" s="11"/>
      <c r="K8" s="5" t="s">
        <v>100</v>
      </c>
      <c r="L8" s="7">
        <f>L6+COS(G16)*L7</f>
        <v>218.89637514623882</v>
      </c>
      <c r="M8" s="5" t="s">
        <v>103</v>
      </c>
      <c r="N8" s="5"/>
      <c r="W8" s="21">
        <v>8.5</v>
      </c>
      <c r="X8" s="21" t="s">
        <v>71</v>
      </c>
      <c r="Y8" s="22" t="s">
        <v>244</v>
      </c>
      <c r="Z8" s="46"/>
      <c r="AA8" s="13" t="s">
        <v>238</v>
      </c>
      <c r="AB8" s="21">
        <v>2</v>
      </c>
      <c r="AC8" s="21" t="s">
        <v>11</v>
      </c>
      <c r="AD8" s="22"/>
      <c r="AE8" s="46"/>
      <c r="AF8" s="13" t="s">
        <v>245</v>
      </c>
      <c r="AG8" s="21">
        <f>AB9</f>
        <v>1</v>
      </c>
      <c r="AH8" s="21"/>
      <c r="AI8" s="22"/>
    </row>
    <row r="9" spans="1:35" x14ac:dyDescent="0.3">
      <c r="A9" s="10" t="s">
        <v>86</v>
      </c>
      <c r="B9" s="7">
        <f>AppliedForceNormal/B8</f>
        <v>300</v>
      </c>
      <c r="C9" s="5" t="s">
        <v>103</v>
      </c>
      <c r="D9" s="11"/>
      <c r="F9" s="10" t="s">
        <v>112</v>
      </c>
      <c r="G9" s="6">
        <v>0.35</v>
      </c>
      <c r="H9" s="5" t="s">
        <v>71</v>
      </c>
      <c r="I9" s="11"/>
      <c r="K9" s="5" t="s">
        <v>101</v>
      </c>
      <c r="L9" s="27">
        <f>L8*((G10/2)/12)</f>
        <v>3.8762899765479792</v>
      </c>
      <c r="M9" s="5" t="s">
        <v>102</v>
      </c>
      <c r="N9" s="5"/>
      <c r="W9" s="21">
        <f>W7/2</f>
        <v>350</v>
      </c>
      <c r="X9" s="21" t="s">
        <v>103</v>
      </c>
      <c r="Y9" s="22"/>
      <c r="Z9" s="46"/>
      <c r="AA9" s="13" t="s">
        <v>242</v>
      </c>
      <c r="AB9" s="21">
        <f>AB7*AB8</f>
        <v>1</v>
      </c>
      <c r="AC9" s="21" t="s">
        <v>71</v>
      </c>
      <c r="AD9" s="22"/>
      <c r="AE9" s="46"/>
      <c r="AF9" s="13" t="s">
        <v>171</v>
      </c>
      <c r="AG9" s="21">
        <f>SS303FatigueStrength</f>
        <v>34800</v>
      </c>
      <c r="AH9" s="21" t="s">
        <v>13</v>
      </c>
      <c r="AI9" s="22"/>
    </row>
    <row r="10" spans="1:35" x14ac:dyDescent="0.3">
      <c r="A10" s="10" t="s">
        <v>89</v>
      </c>
      <c r="B10" s="8">
        <f>SS303FatigueStrength</f>
        <v>34800</v>
      </c>
      <c r="C10" s="5" t="s">
        <v>13</v>
      </c>
      <c r="D10" s="11"/>
      <c r="F10" s="10" t="s">
        <v>113</v>
      </c>
      <c r="G10" s="27">
        <f>(G8+G9)/2</f>
        <v>0.42499999999999999</v>
      </c>
      <c r="H10" s="5" t="s">
        <v>71</v>
      </c>
      <c r="I10" s="11"/>
      <c r="K10" s="5" t="s">
        <v>101</v>
      </c>
      <c r="L10" s="27">
        <f>L9*16*12</f>
        <v>744.24767549721196</v>
      </c>
      <c r="M10" s="5" t="s">
        <v>137</v>
      </c>
      <c r="N10" s="5"/>
      <c r="W10" s="21">
        <f>W9*W8/2</f>
        <v>1487.5</v>
      </c>
      <c r="X10" s="21" t="s">
        <v>196</v>
      </c>
      <c r="Y10" s="22"/>
      <c r="Z10" s="46"/>
      <c r="AA10" s="13" t="s">
        <v>241</v>
      </c>
      <c r="AB10" s="21">
        <f>SQRT((6*W13)/AB9)</f>
        <v>0.71619203743322835</v>
      </c>
      <c r="AC10" s="21" t="s">
        <v>71</v>
      </c>
      <c r="AD10" s="22"/>
      <c r="AE10" s="46"/>
      <c r="AF10" s="13" t="s">
        <v>10</v>
      </c>
      <c r="AG10" s="21">
        <v>5</v>
      </c>
      <c r="AH10" s="21"/>
      <c r="AI10" s="22"/>
    </row>
    <row r="11" spans="1:35" ht="15" thickBot="1" x14ac:dyDescent="0.35">
      <c r="A11" s="10" t="s">
        <v>10</v>
      </c>
      <c r="B11" s="8">
        <f>FS</f>
        <v>2</v>
      </c>
      <c r="C11" s="5" t="s">
        <v>11</v>
      </c>
      <c r="D11" s="11"/>
      <c r="F11" s="10" t="s">
        <v>118</v>
      </c>
      <c r="G11" s="7">
        <f>G10*PI()</f>
        <v>1.3351768777756621</v>
      </c>
      <c r="H11" s="5" t="s">
        <v>71</v>
      </c>
      <c r="I11" s="11"/>
      <c r="K11" s="5" t="s">
        <v>101</v>
      </c>
      <c r="L11" s="27">
        <f>L9*0.4535*30.48</f>
        <v>53.580715933030227</v>
      </c>
      <c r="M11" s="5" t="s">
        <v>138</v>
      </c>
      <c r="N11" s="5"/>
      <c r="W11" s="21">
        <v>2</v>
      </c>
      <c r="X11" s="21" t="s">
        <v>11</v>
      </c>
      <c r="Y11" s="22"/>
      <c r="Z11" s="46"/>
      <c r="AA11" s="50"/>
      <c r="AB11" s="51"/>
      <c r="AC11" s="51"/>
      <c r="AD11" s="52"/>
      <c r="AE11" s="46"/>
      <c r="AF11" s="13" t="s">
        <v>246</v>
      </c>
      <c r="AG11" s="21">
        <f>AG7*AG10*FS/(AG9*AG8)</f>
        <v>0.20114942528735633</v>
      </c>
      <c r="AH11" s="21"/>
      <c r="AI11" s="22"/>
    </row>
    <row r="12" spans="1:35" x14ac:dyDescent="0.3">
      <c r="A12" s="10" t="s">
        <v>90</v>
      </c>
      <c r="B12" s="7">
        <f>SQRT((4*B9*B11)/(B10*PI()))</f>
        <v>0.14816344334453657</v>
      </c>
      <c r="C12" s="5" t="s">
        <v>71</v>
      </c>
      <c r="D12" s="11"/>
      <c r="F12" s="10" t="s">
        <v>120</v>
      </c>
      <c r="G12" s="27">
        <f>((G9/2)^2)*PI()</f>
        <v>9.6211275016187398E-2</v>
      </c>
      <c r="H12" s="5"/>
      <c r="I12" s="11"/>
      <c r="K12" s="5" t="s">
        <v>104</v>
      </c>
      <c r="L12" s="5">
        <f>L9/G13</f>
        <v>2631.1413897550287</v>
      </c>
      <c r="M12" s="5" t="s">
        <v>13</v>
      </c>
      <c r="N12" s="5"/>
      <c r="W12" s="21">
        <f>SS303FatigueStrength</f>
        <v>34800</v>
      </c>
      <c r="X12" s="21" t="s">
        <v>336</v>
      </c>
      <c r="Y12" s="22"/>
      <c r="Z12" s="46"/>
      <c r="AA12" s="46"/>
      <c r="AB12" s="46"/>
      <c r="AC12" s="46"/>
      <c r="AD12" s="46"/>
      <c r="AE12" s="46"/>
      <c r="AF12" s="13" t="s">
        <v>247</v>
      </c>
      <c r="AG12" s="21">
        <f>2*SQRT((AG7*FS/AB8)/AG9)</f>
        <v>0.2836543144655877</v>
      </c>
      <c r="AH12" s="21"/>
      <c r="AI12" s="22"/>
    </row>
    <row r="13" spans="1:35" ht="15" thickBot="1" x14ac:dyDescent="0.35">
      <c r="A13" s="10" t="s">
        <v>93</v>
      </c>
      <c r="B13" s="9">
        <v>0.375</v>
      </c>
      <c r="C13" s="5" t="s">
        <v>71</v>
      </c>
      <c r="D13" s="12" t="s">
        <v>133</v>
      </c>
      <c r="F13" s="10" t="s">
        <v>105</v>
      </c>
      <c r="G13" s="27">
        <f>PI()*((G9/2)^4)/2</f>
        <v>1.4732351486853694E-3</v>
      </c>
      <c r="H13" s="5" t="s">
        <v>71</v>
      </c>
      <c r="I13" s="11"/>
      <c r="W13" s="51">
        <f>W10*W11/W12</f>
        <v>8.5488505747126436E-2</v>
      </c>
      <c r="X13" s="51" t="s">
        <v>337</v>
      </c>
      <c r="Y13" s="52"/>
      <c r="Z13" s="46"/>
      <c r="AA13" s="46"/>
      <c r="AB13" s="46"/>
      <c r="AC13" s="46"/>
      <c r="AD13" s="46"/>
      <c r="AE13" s="46"/>
      <c r="AF13" s="50" t="s">
        <v>176</v>
      </c>
      <c r="AG13" s="51">
        <f>3/8</f>
        <v>0.375</v>
      </c>
      <c r="AH13" s="51"/>
      <c r="AI13" s="52"/>
    </row>
    <row r="14" spans="1:35" x14ac:dyDescent="0.3">
      <c r="A14" s="13"/>
      <c r="B14" s="21"/>
      <c r="C14" s="21"/>
      <c r="D14" s="22"/>
      <c r="F14" s="10" t="s">
        <v>114</v>
      </c>
      <c r="G14" s="7">
        <f>1/G15</f>
        <v>0.1</v>
      </c>
      <c r="H14" s="5" t="s">
        <v>122</v>
      </c>
      <c r="I14" s="11"/>
      <c r="W14" s="46"/>
      <c r="X14" s="46"/>
      <c r="Y14" s="46"/>
      <c r="Z14" s="46"/>
      <c r="AA14" s="46"/>
      <c r="AB14" s="46"/>
      <c r="AC14" s="46"/>
      <c r="AD14" s="46"/>
      <c r="AE14" s="46"/>
      <c r="AF14" s="46"/>
      <c r="AG14" s="46"/>
      <c r="AH14" s="46"/>
      <c r="AI14" s="46"/>
    </row>
    <row r="15" spans="1:35" x14ac:dyDescent="0.3">
      <c r="A15" s="14" t="s">
        <v>94</v>
      </c>
      <c r="B15" s="15">
        <f>B13*PI()</f>
        <v>1.1780972450961724</v>
      </c>
      <c r="C15" s="15"/>
      <c r="D15" s="16"/>
      <c r="F15" s="10" t="s">
        <v>115</v>
      </c>
      <c r="G15" s="6">
        <v>10</v>
      </c>
      <c r="H15" s="5" t="s">
        <v>123</v>
      </c>
      <c r="I15" s="11"/>
      <c r="W15" s="46"/>
      <c r="X15" s="46"/>
      <c r="Y15" s="46"/>
      <c r="Z15" s="46"/>
      <c r="AA15" s="46"/>
      <c r="AB15" s="46"/>
      <c r="AC15" s="46"/>
      <c r="AD15" s="46"/>
      <c r="AE15" s="46"/>
      <c r="AF15" s="46"/>
      <c r="AG15" s="46"/>
      <c r="AH15" s="46"/>
      <c r="AI15" s="46"/>
    </row>
    <row r="16" spans="1:35" ht="15" thickBot="1" x14ac:dyDescent="0.35">
      <c r="A16" s="14" t="s">
        <v>91</v>
      </c>
      <c r="B16" s="17">
        <v>0.16666666666666666</v>
      </c>
      <c r="C16" s="15"/>
      <c r="D16" s="16" t="s">
        <v>92</v>
      </c>
      <c r="F16" s="10" t="s">
        <v>128</v>
      </c>
      <c r="G16" s="27">
        <f>ATAN(G14/G11)</f>
        <v>7.4756869969081929E-2</v>
      </c>
      <c r="H16" s="5" t="s">
        <v>126</v>
      </c>
      <c r="I16" s="11"/>
      <c r="W16" s="46"/>
      <c r="X16" s="46"/>
      <c r="Y16" s="46"/>
      <c r="Z16" s="46"/>
      <c r="AA16" s="46" t="s">
        <v>289</v>
      </c>
      <c r="AB16" s="46"/>
      <c r="AC16" s="46"/>
      <c r="AD16" s="46"/>
      <c r="AE16" s="46"/>
      <c r="AF16" s="46"/>
      <c r="AG16" s="46"/>
      <c r="AH16" s="46"/>
      <c r="AI16" s="46"/>
    </row>
    <row r="17" spans="1:35" ht="15" thickBot="1" x14ac:dyDescent="0.35">
      <c r="A17" s="14" t="s">
        <v>96</v>
      </c>
      <c r="B17" s="15">
        <f>ATAN(B16/B15)</f>
        <v>0.14053843111258857</v>
      </c>
      <c r="C17" s="15"/>
      <c r="D17" s="16"/>
      <c r="F17" s="28" t="s">
        <v>128</v>
      </c>
      <c r="G17" s="29">
        <f>DEGREES(G16)</f>
        <v>4.2832531388366837</v>
      </c>
      <c r="H17" s="29" t="s">
        <v>127</v>
      </c>
      <c r="I17" s="30"/>
      <c r="W17" s="48"/>
      <c r="X17" s="48"/>
      <c r="Y17" s="49"/>
      <c r="Z17" s="46"/>
      <c r="AA17" s="47" t="s">
        <v>288</v>
      </c>
      <c r="AB17" s="48"/>
      <c r="AC17" s="48"/>
      <c r="AD17" s="49"/>
      <c r="AE17" s="46"/>
      <c r="AF17" s="46"/>
      <c r="AG17" s="46"/>
      <c r="AH17" s="46"/>
      <c r="AI17" s="46"/>
    </row>
    <row r="18" spans="1:35" ht="15" thickBot="1" x14ac:dyDescent="0.35">
      <c r="A18" s="18" t="s">
        <v>105</v>
      </c>
      <c r="B18" s="19">
        <f>PI()*((B13/2)^4)/2</f>
        <v>1.9414444346677645E-3</v>
      </c>
      <c r="C18" s="19"/>
      <c r="D18" s="20"/>
      <c r="W18" s="21" t="s">
        <v>14</v>
      </c>
      <c r="X18" s="21" t="s">
        <v>5</v>
      </c>
      <c r="Y18" s="22" t="s">
        <v>129</v>
      </c>
      <c r="Z18" s="46"/>
      <c r="AA18" s="13"/>
      <c r="AB18" s="21" t="s">
        <v>14</v>
      </c>
      <c r="AC18" s="21" t="s">
        <v>5</v>
      </c>
      <c r="AD18" s="22" t="s">
        <v>129</v>
      </c>
      <c r="AE18" s="46"/>
      <c r="AF18" s="46"/>
      <c r="AG18" s="46"/>
      <c r="AH18" s="46"/>
      <c r="AI18" s="46"/>
    </row>
    <row r="19" spans="1:35" x14ac:dyDescent="0.3">
      <c r="W19" s="21">
        <f>0.125</f>
        <v>0.125</v>
      </c>
      <c r="X19" s="21" t="s">
        <v>71</v>
      </c>
      <c r="Y19" s="22"/>
      <c r="Z19" s="46"/>
      <c r="AA19" s="13" t="s">
        <v>287</v>
      </c>
      <c r="AB19" s="21">
        <f>0.125</f>
        <v>0.125</v>
      </c>
      <c r="AC19" s="21" t="s">
        <v>71</v>
      </c>
      <c r="AD19" s="22"/>
      <c r="AE19" s="46"/>
      <c r="AF19" s="46"/>
      <c r="AG19" s="46"/>
      <c r="AH19" s="46"/>
      <c r="AI19" s="46"/>
    </row>
    <row r="20" spans="1:35" x14ac:dyDescent="0.3">
      <c r="W20" s="21">
        <f>SS303FatigueStrength</f>
        <v>34800</v>
      </c>
      <c r="X20" s="21" t="s">
        <v>13</v>
      </c>
      <c r="Y20" s="22"/>
      <c r="Z20" s="46"/>
      <c r="AA20" s="13" t="s">
        <v>171</v>
      </c>
      <c r="AB20" s="21">
        <f>SS303FatigueStrength</f>
        <v>34800</v>
      </c>
      <c r="AC20" s="21" t="s">
        <v>13</v>
      </c>
      <c r="AD20" s="22"/>
      <c r="AE20" s="46"/>
      <c r="AF20" s="46"/>
      <c r="AG20" s="46"/>
      <c r="AH20" s="46"/>
      <c r="AI20" s="46"/>
    </row>
    <row r="21" spans="1:35" x14ac:dyDescent="0.3">
      <c r="F21" t="s">
        <v>119</v>
      </c>
      <c r="G21" s="4">
        <v>0.4</v>
      </c>
      <c r="W21" s="21">
        <v>3</v>
      </c>
      <c r="X21" s="21"/>
      <c r="Y21" s="22"/>
      <c r="Z21" s="46"/>
      <c r="AA21" s="13" t="s">
        <v>10</v>
      </c>
      <c r="AB21" s="21">
        <v>3</v>
      </c>
      <c r="AC21" s="21"/>
      <c r="AD21" s="22"/>
      <c r="AE21" s="46"/>
      <c r="AF21" s="46"/>
      <c r="AG21" s="46"/>
      <c r="AH21" s="46"/>
      <c r="AI21" s="46"/>
    </row>
    <row r="22" spans="1:35" x14ac:dyDescent="0.3">
      <c r="A22" s="3" t="s">
        <v>145</v>
      </c>
      <c r="F22" t="s">
        <v>125</v>
      </c>
      <c r="G22" s="4">
        <v>0.98</v>
      </c>
      <c r="W22" s="21">
        <f>AppliedForceNormal/2*W21/(W20*W19)</f>
        <v>0.20689655172413793</v>
      </c>
      <c r="X22" s="21" t="s">
        <v>71</v>
      </c>
      <c r="Y22" s="22"/>
      <c r="Z22" s="46"/>
      <c r="AA22" s="13" t="s">
        <v>291</v>
      </c>
      <c r="AB22" s="21">
        <f>AB21*AppliedForceNormal*0.5/(2*AB19*AB20)</f>
        <v>0.10344827586206896</v>
      </c>
      <c r="AC22" s="21" t="s">
        <v>71</v>
      </c>
      <c r="AD22" s="22"/>
      <c r="AE22" s="46"/>
      <c r="AF22" s="46"/>
      <c r="AG22" s="46"/>
      <c r="AH22" s="46"/>
      <c r="AI22" s="46"/>
    </row>
    <row r="23" spans="1:35" ht="15" thickBot="1" x14ac:dyDescent="0.35">
      <c r="A23" t="s">
        <v>136</v>
      </c>
      <c r="W23" s="51">
        <v>0.375</v>
      </c>
      <c r="X23" s="51" t="s">
        <v>71</v>
      </c>
      <c r="Y23" s="52"/>
      <c r="Z23" s="46"/>
      <c r="AA23" s="50" t="s">
        <v>292</v>
      </c>
      <c r="AB23" s="51">
        <v>0.25</v>
      </c>
      <c r="AC23" s="51" t="s">
        <v>71</v>
      </c>
      <c r="AD23" s="52"/>
      <c r="AE23" s="46"/>
      <c r="AF23" s="46"/>
      <c r="AG23" s="46"/>
      <c r="AH23" s="46"/>
      <c r="AI23" s="46"/>
    </row>
    <row r="24" spans="1:35" x14ac:dyDescent="0.3">
      <c r="W24" s="46"/>
      <c r="X24" s="46"/>
      <c r="Y24" s="46"/>
      <c r="Z24" s="46"/>
      <c r="AA24" s="53" t="s">
        <v>293</v>
      </c>
      <c r="AB24" s="46">
        <f>W23+(2*AB23)</f>
        <v>0.875</v>
      </c>
      <c r="AC24" s="46"/>
      <c r="AD24" s="46"/>
      <c r="AE24" s="46"/>
      <c r="AF24" s="46"/>
      <c r="AG24" s="46"/>
      <c r="AH24" s="46"/>
      <c r="AI24" s="46"/>
    </row>
    <row r="27" spans="1:35" ht="15" thickBot="1" x14ac:dyDescent="0.35">
      <c r="A27" t="s">
        <v>172</v>
      </c>
      <c r="F27" t="s">
        <v>156</v>
      </c>
    </row>
    <row r="28" spans="1:35" x14ac:dyDescent="0.3">
      <c r="A28" s="31"/>
      <c r="B28" s="32" t="s">
        <v>14</v>
      </c>
      <c r="C28" s="32" t="s">
        <v>5</v>
      </c>
      <c r="D28" s="33" t="s">
        <v>129</v>
      </c>
      <c r="F28" s="10"/>
      <c r="G28" s="5" t="s">
        <v>14</v>
      </c>
      <c r="H28" s="5" t="s">
        <v>5</v>
      </c>
      <c r="I28" s="11" t="s">
        <v>129</v>
      </c>
    </row>
    <row r="29" spans="1:35" x14ac:dyDescent="0.3">
      <c r="A29" s="10" t="s">
        <v>148</v>
      </c>
      <c r="B29" s="27">
        <f>ROUND(L9*B8,1)</f>
        <v>7.8</v>
      </c>
      <c r="C29" s="5" t="s">
        <v>102</v>
      </c>
      <c r="D29" s="11" t="s">
        <v>151</v>
      </c>
      <c r="F29" t="s">
        <v>250</v>
      </c>
      <c r="G29">
        <f>B34/(B30/12)</f>
        <v>30.42</v>
      </c>
    </row>
    <row r="30" spans="1:35" x14ac:dyDescent="0.3">
      <c r="A30" s="10" t="s">
        <v>149</v>
      </c>
      <c r="B30" s="41">
        <f>2</f>
        <v>2</v>
      </c>
      <c r="C30" s="5" t="s">
        <v>71</v>
      </c>
      <c r="D30" s="11" t="s">
        <v>150</v>
      </c>
      <c r="F30" t="s">
        <v>155</v>
      </c>
    </row>
    <row r="31" spans="1:35" x14ac:dyDescent="0.3">
      <c r="A31" s="10" t="s">
        <v>152</v>
      </c>
      <c r="B31" s="5">
        <f>B29/(B30/12)</f>
        <v>46.800000000000004</v>
      </c>
      <c r="C31" s="5" t="s">
        <v>4</v>
      </c>
      <c r="D31" s="11"/>
      <c r="F31" t="s">
        <v>154</v>
      </c>
    </row>
    <row r="32" spans="1:35" x14ac:dyDescent="0.3">
      <c r="A32" s="10" t="s">
        <v>253</v>
      </c>
      <c r="B32" s="5">
        <v>1.25</v>
      </c>
      <c r="C32" s="5" t="s">
        <v>71</v>
      </c>
      <c r="D32" s="11"/>
    </row>
    <row r="33" spans="1:9" x14ac:dyDescent="0.3">
      <c r="A33" s="10" t="s">
        <v>157</v>
      </c>
      <c r="B33" s="42">
        <v>0.96</v>
      </c>
      <c r="C33" s="5"/>
      <c r="D33" s="11"/>
    </row>
    <row r="34" spans="1:9" x14ac:dyDescent="0.3">
      <c r="A34" s="10" t="s">
        <v>158</v>
      </c>
      <c r="B34" s="27">
        <f>B29*(B32/B30)*(1-B33+1)</f>
        <v>5.07</v>
      </c>
      <c r="C34" s="5" t="s">
        <v>102</v>
      </c>
      <c r="D34" s="43"/>
      <c r="I34" s="3" t="s">
        <v>153</v>
      </c>
    </row>
    <row r="35" spans="1:9" x14ac:dyDescent="0.3">
      <c r="A35" s="10" t="s">
        <v>158</v>
      </c>
      <c r="B35" s="27">
        <f>B34*16*12</f>
        <v>973.44</v>
      </c>
      <c r="C35" s="5" t="s">
        <v>137</v>
      </c>
      <c r="D35" s="11"/>
    </row>
    <row r="36" spans="1:9" x14ac:dyDescent="0.3">
      <c r="A36" s="10" t="s">
        <v>158</v>
      </c>
      <c r="B36" s="27">
        <f>B34*0.4535*30.48</f>
        <v>70.0809876</v>
      </c>
      <c r="C36" s="5" t="s">
        <v>138</v>
      </c>
      <c r="D36" s="11"/>
    </row>
    <row r="37" spans="1:9" ht="15" thickBot="1" x14ac:dyDescent="0.35">
      <c r="A37" s="23" t="s">
        <v>139</v>
      </c>
      <c r="B37" s="34">
        <f>B30/B32</f>
        <v>1.6</v>
      </c>
      <c r="C37" s="34"/>
      <c r="D37" s="30"/>
    </row>
    <row r="40" spans="1:9" ht="15" thickBot="1" x14ac:dyDescent="0.35">
      <c r="F40" t="s">
        <v>261</v>
      </c>
    </row>
    <row r="41" spans="1:9" ht="15" thickBot="1" x14ac:dyDescent="0.35">
      <c r="A41" t="s">
        <v>124</v>
      </c>
      <c r="F41" s="31"/>
      <c r="G41" s="32" t="s">
        <v>14</v>
      </c>
      <c r="H41" s="32" t="s">
        <v>5</v>
      </c>
      <c r="I41" s="33" t="s">
        <v>129</v>
      </c>
    </row>
    <row r="42" spans="1:9" x14ac:dyDescent="0.3">
      <c r="A42" s="31"/>
      <c r="B42" s="32" t="s">
        <v>14</v>
      </c>
      <c r="C42" s="32" t="s">
        <v>5</v>
      </c>
      <c r="D42" s="33" t="s">
        <v>129</v>
      </c>
      <c r="F42" s="10" t="s">
        <v>229</v>
      </c>
      <c r="G42" s="6">
        <v>19</v>
      </c>
      <c r="H42" s="5" t="s">
        <v>140</v>
      </c>
      <c r="I42" s="11"/>
    </row>
    <row r="43" spans="1:9" x14ac:dyDescent="0.3">
      <c r="A43" s="10" t="s">
        <v>158</v>
      </c>
      <c r="B43" s="27">
        <f>B34</f>
        <v>5.07</v>
      </c>
      <c r="C43" s="5" t="s">
        <v>102</v>
      </c>
      <c r="D43" s="11"/>
      <c r="F43" s="10" t="s">
        <v>230</v>
      </c>
      <c r="G43" s="6">
        <v>1</v>
      </c>
      <c r="H43" s="5" t="s">
        <v>11</v>
      </c>
      <c r="I43" s="11"/>
    </row>
    <row r="44" spans="1:9" x14ac:dyDescent="0.3">
      <c r="A44" s="10" t="s">
        <v>158</v>
      </c>
      <c r="B44" s="27">
        <f>B43*16*12</f>
        <v>973.44</v>
      </c>
      <c r="C44" s="5" t="s">
        <v>137</v>
      </c>
      <c r="D44" s="11"/>
      <c r="F44" s="10" t="s">
        <v>231</v>
      </c>
      <c r="G44" s="8">
        <f>B37</f>
        <v>1.6</v>
      </c>
      <c r="H44" s="5"/>
      <c r="I44" s="11"/>
    </row>
    <row r="45" spans="1:9" x14ac:dyDescent="0.3">
      <c r="A45" s="10" t="s">
        <v>158</v>
      </c>
      <c r="B45" s="27">
        <f>B43*0.4535*30.48</f>
        <v>70.0809876</v>
      </c>
      <c r="C45" s="5" t="s">
        <v>138</v>
      </c>
      <c r="D45" s="11"/>
      <c r="F45" s="10" t="s">
        <v>233</v>
      </c>
      <c r="G45" s="8">
        <f>G15</f>
        <v>10</v>
      </c>
      <c r="H45" s="5" t="s">
        <v>232</v>
      </c>
      <c r="I45" s="11"/>
    </row>
    <row r="46" spans="1:9" ht="15" thickBot="1" x14ac:dyDescent="0.35">
      <c r="A46" s="23" t="s">
        <v>158</v>
      </c>
      <c r="B46" s="34">
        <f>B43*1.3558179483</f>
        <v>6.873996997881</v>
      </c>
      <c r="C46" s="34" t="s">
        <v>254</v>
      </c>
      <c r="D46" s="30"/>
      <c r="F46" s="10" t="s">
        <v>234</v>
      </c>
      <c r="G46" s="7">
        <f>G42/(G43*G44)</f>
        <v>11.875</v>
      </c>
      <c r="H46" s="5" t="s">
        <v>140</v>
      </c>
      <c r="I46" s="11"/>
    </row>
    <row r="47" spans="1:9" ht="15" thickBot="1" x14ac:dyDescent="0.35">
      <c r="F47" s="23" t="s">
        <v>235</v>
      </c>
      <c r="G47" s="34">
        <f>G46/G45</f>
        <v>1.1875</v>
      </c>
      <c r="H47" s="34" t="s">
        <v>236</v>
      </c>
      <c r="I47" s="30"/>
    </row>
    <row r="48" spans="1:9" x14ac:dyDescent="0.3">
      <c r="A48" t="s">
        <v>164</v>
      </c>
    </row>
    <row r="49" spans="1:6" x14ac:dyDescent="0.3">
      <c r="A49" t="s">
        <v>165</v>
      </c>
    </row>
    <row r="50" spans="1:6" x14ac:dyDescent="0.3">
      <c r="D50">
        <v>50</v>
      </c>
      <c r="E50" t="s">
        <v>256</v>
      </c>
    </row>
    <row r="51" spans="1:6" x14ac:dyDescent="0.3">
      <c r="D51">
        <f>2*PI()*D50/60</f>
        <v>5.2359877559829888</v>
      </c>
      <c r="E51" t="s">
        <v>257</v>
      </c>
      <c r="F51" t="s">
        <v>255</v>
      </c>
    </row>
    <row r="52" spans="1:6" x14ac:dyDescent="0.3">
      <c r="D52">
        <f>B46</f>
        <v>6.873996997881</v>
      </c>
      <c r="E52" t="s">
        <v>254</v>
      </c>
    </row>
    <row r="53" spans="1:6" x14ac:dyDescent="0.3">
      <c r="D53">
        <f>D51*D52</f>
        <v>35.992164115568741</v>
      </c>
      <c r="E53" t="s">
        <v>258</v>
      </c>
      <c r="F53">
        <f>0.105*90*B46</f>
        <v>64.959271629975447</v>
      </c>
    </row>
    <row r="55" spans="1:6" x14ac:dyDescent="0.3">
      <c r="D55">
        <v>24</v>
      </c>
      <c r="E55" t="s">
        <v>259</v>
      </c>
    </row>
    <row r="56" spans="1:6" x14ac:dyDescent="0.3">
      <c r="D56">
        <f>D53/D55</f>
        <v>1.4996735048153642</v>
      </c>
      <c r="E56" t="s">
        <v>260</v>
      </c>
      <c r="F56">
        <f>6000*0.224808943</f>
        <v>1348.853658</v>
      </c>
    </row>
  </sheetData>
  <hyperlinks>
    <hyperlink ref="A22" r:id="rId1" location=":~:text=The%20bearing%20pressure%20refers%20to%20the#:~:text=The%20bearing%20pressure%20refers%20to%20the" display="https://engineerexcel.com/acme-thread-calculations/ - :~:text=The%20bearing%20pressure%20refers%20to%20the#:~:text=The%20bearing%20pressure%20refers%20to%20the" xr:uid="{EB560DC3-B69B-4530-B1AF-3637325D1D1F}"/>
    <hyperlink ref="I34" r:id="rId2" location="fig25" display="http://chain-guide.com/basics/2-1-2-engagement-with-sprockets.html - fig25" xr:uid="{80E4AA67-26CD-4E34-8F69-0332D5B7D54D}"/>
  </hyperlinks>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650138-A39B-40B7-A1C0-41B1A4232402}">
  <dimension ref="A1:X50"/>
  <sheetViews>
    <sheetView topLeftCell="A7" zoomScale="55" zoomScaleNormal="55" workbookViewId="0">
      <selection activeCell="M39" sqref="M39"/>
    </sheetView>
  </sheetViews>
  <sheetFormatPr defaultRowHeight="14.4" x14ac:dyDescent="0.3"/>
  <cols>
    <col min="1" max="1" width="39.44140625" customWidth="1"/>
    <col min="6" max="6" width="34.77734375" customWidth="1"/>
    <col min="11" max="11" width="25.77734375" customWidth="1"/>
    <col min="16" max="16" width="17" customWidth="1"/>
    <col min="21" max="21" width="19.77734375" customWidth="1"/>
  </cols>
  <sheetData>
    <row r="1" spans="1:14" ht="15" thickBot="1" x14ac:dyDescent="0.35">
      <c r="A1" t="s">
        <v>167</v>
      </c>
    </row>
    <row r="2" spans="1:14" x14ac:dyDescent="0.3">
      <c r="A2" s="31" t="s">
        <v>8</v>
      </c>
      <c r="B2" s="32"/>
      <c r="C2" s="32"/>
      <c r="D2" s="33"/>
      <c r="F2" s="5" t="s">
        <v>183</v>
      </c>
      <c r="G2" s="5"/>
      <c r="H2" s="5"/>
      <c r="I2" s="5"/>
      <c r="K2" s="31" t="s">
        <v>166</v>
      </c>
      <c r="L2" s="32"/>
      <c r="M2" s="32"/>
      <c r="N2" s="33"/>
    </row>
    <row r="3" spans="1:14" x14ac:dyDescent="0.3">
      <c r="A3" s="10"/>
      <c r="B3" s="5" t="s">
        <v>14</v>
      </c>
      <c r="C3" s="5" t="s">
        <v>5</v>
      </c>
      <c r="D3" s="11" t="s">
        <v>129</v>
      </c>
      <c r="F3" s="5"/>
      <c r="G3" s="5" t="s">
        <v>14</v>
      </c>
      <c r="H3" s="5" t="s">
        <v>5</v>
      </c>
      <c r="I3" s="5" t="s">
        <v>129</v>
      </c>
      <c r="K3" s="10"/>
      <c r="L3" s="5" t="s">
        <v>14</v>
      </c>
      <c r="M3" s="5" t="s">
        <v>5</v>
      </c>
      <c r="N3" s="11" t="s">
        <v>129</v>
      </c>
    </row>
    <row r="4" spans="1:14" x14ac:dyDescent="0.3">
      <c r="A4" s="10" t="s">
        <v>18</v>
      </c>
      <c r="B4" s="6">
        <v>2</v>
      </c>
      <c r="C4" s="5" t="s">
        <v>11</v>
      </c>
      <c r="D4" s="11"/>
      <c r="F4" s="5" t="s">
        <v>269</v>
      </c>
      <c r="G4" s="5">
        <f>B12</f>
        <v>0.875</v>
      </c>
      <c r="H4" s="5" t="s">
        <v>71</v>
      </c>
      <c r="I4" s="5"/>
      <c r="K4" s="10" t="s">
        <v>282</v>
      </c>
      <c r="L4" s="5">
        <v>0.75</v>
      </c>
      <c r="M4" s="5" t="s">
        <v>71</v>
      </c>
      <c r="N4" s="11"/>
    </row>
    <row r="5" spans="1:14" x14ac:dyDescent="0.3">
      <c r="A5" s="10" t="s">
        <v>19</v>
      </c>
      <c r="B5" s="7">
        <f>(B7*B9*(B4*B8)^2)/((PI()^2)*B6)</f>
        <v>1.9979198527199453E-3</v>
      </c>
      <c r="C5" s="5"/>
      <c r="D5" s="11"/>
      <c r="F5" s="5" t="s">
        <v>171</v>
      </c>
      <c r="G5" s="5">
        <f>SS303FatigueStrength</f>
        <v>34800</v>
      </c>
      <c r="H5" s="5" t="s">
        <v>13</v>
      </c>
      <c r="I5" s="5"/>
      <c r="K5" s="10" t="s">
        <v>283</v>
      </c>
      <c r="L5" s="5">
        <f>(L4^2)*PI()</f>
        <v>1.7671458676442586</v>
      </c>
      <c r="M5" s="5" t="s">
        <v>161</v>
      </c>
      <c r="N5" s="11"/>
    </row>
    <row r="6" spans="1:14" x14ac:dyDescent="0.3">
      <c r="A6" s="10" t="s">
        <v>20</v>
      </c>
      <c r="B6" s="8">
        <f>SS303YoungsModulus</f>
        <v>28000000</v>
      </c>
      <c r="C6" s="5"/>
      <c r="D6" s="11"/>
      <c r="F6" s="5" t="s">
        <v>10</v>
      </c>
      <c r="G6" s="5">
        <v>5</v>
      </c>
      <c r="H6" s="5"/>
      <c r="I6" s="5"/>
      <c r="K6" s="10" t="s">
        <v>95</v>
      </c>
      <c r="L6" s="5">
        <f>AppliedForceNormal</f>
        <v>600</v>
      </c>
      <c r="M6" s="5" t="s">
        <v>103</v>
      </c>
      <c r="N6" s="11"/>
    </row>
    <row r="7" spans="1:14" ht="15" thickBot="1" x14ac:dyDescent="0.35">
      <c r="A7" s="10" t="s">
        <v>21</v>
      </c>
      <c r="B7" s="8">
        <f>AppliedForceNormal</f>
        <v>600</v>
      </c>
      <c r="C7" s="5"/>
      <c r="D7" s="11"/>
      <c r="F7" s="5" t="s">
        <v>173</v>
      </c>
      <c r="G7" s="5">
        <f>AppliedForceNormal*G6/(G5*G4)</f>
        <v>9.8522167487684734E-2</v>
      </c>
      <c r="H7" s="5"/>
      <c r="I7" s="5"/>
      <c r="K7" s="23" t="s">
        <v>284</v>
      </c>
      <c r="L7" s="34">
        <f>L6/L5</f>
        <v>339.53054526271006</v>
      </c>
      <c r="M7" s="34" t="s">
        <v>13</v>
      </c>
      <c r="N7" s="30"/>
    </row>
    <row r="8" spans="1:14" x14ac:dyDescent="0.3">
      <c r="A8" s="10" t="s">
        <v>23</v>
      </c>
      <c r="B8" s="7">
        <f>MachineHeight/2</f>
        <v>10.725</v>
      </c>
      <c r="C8" s="5"/>
      <c r="D8" s="11"/>
      <c r="F8" s="5" t="s">
        <v>176</v>
      </c>
      <c r="G8" s="5">
        <f>3/8</f>
        <v>0.375</v>
      </c>
      <c r="H8" s="5"/>
      <c r="I8" s="5"/>
    </row>
    <row r="9" spans="1:14" x14ac:dyDescent="0.3">
      <c r="A9" s="10" t="s">
        <v>10</v>
      </c>
      <c r="B9" s="8">
        <f>FS</f>
        <v>2</v>
      </c>
      <c r="C9" s="5"/>
      <c r="D9" s="11"/>
      <c r="F9" s="5" t="s">
        <v>174</v>
      </c>
      <c r="G9" s="5">
        <f>(((G4/2)^2)*PI())-(G4*G8)</f>
        <v>0.2731954688511713</v>
      </c>
      <c r="H9" s="5"/>
      <c r="I9" s="5"/>
    </row>
    <row r="10" spans="1:14" x14ac:dyDescent="0.3">
      <c r="A10" s="10" t="s">
        <v>73</v>
      </c>
      <c r="B10" s="7">
        <f>((4*B5)/PI())^0.25</f>
        <v>0.22458050043819783</v>
      </c>
      <c r="C10" s="5"/>
      <c r="D10" s="11"/>
      <c r="F10" s="5" t="s">
        <v>175</v>
      </c>
      <c r="G10" s="5">
        <f>AppliedForceNormal/G9</f>
        <v>2196.2296904963018</v>
      </c>
      <c r="H10" s="5"/>
      <c r="I10" s="5" t="s">
        <v>76</v>
      </c>
    </row>
    <row r="11" spans="1:14" x14ac:dyDescent="0.3">
      <c r="A11" s="10" t="s">
        <v>74</v>
      </c>
      <c r="B11" s="27">
        <f>B10*2</f>
        <v>0.44916100087639566</v>
      </c>
      <c r="C11" s="5"/>
      <c r="D11" s="11"/>
    </row>
    <row r="12" spans="1:14" x14ac:dyDescent="0.3">
      <c r="A12" s="10" t="s">
        <v>75</v>
      </c>
      <c r="B12" s="27">
        <v>0.875</v>
      </c>
      <c r="C12" s="5" t="s">
        <v>71</v>
      </c>
      <c r="D12" s="11"/>
    </row>
    <row r="13" spans="1:14" x14ac:dyDescent="0.3">
      <c r="A13" s="10"/>
      <c r="B13" s="5"/>
      <c r="C13" s="5"/>
      <c r="D13" s="11"/>
      <c r="F13" s="5" t="s">
        <v>177</v>
      </c>
      <c r="G13" s="5" t="s">
        <v>14</v>
      </c>
      <c r="H13" s="5" t="s">
        <v>5</v>
      </c>
      <c r="I13" s="11" t="s">
        <v>129</v>
      </c>
    </row>
    <row r="14" spans="1:14" x14ac:dyDescent="0.3">
      <c r="A14" s="10" t="s">
        <v>159</v>
      </c>
      <c r="B14" s="5">
        <f>((PI()^2)*B6)/((B8/(B12/2))^2)</f>
        <v>459853.28127613547</v>
      </c>
      <c r="C14" s="5" t="s">
        <v>13</v>
      </c>
      <c r="D14" s="11" t="s">
        <v>160</v>
      </c>
      <c r="F14" s="5" t="s">
        <v>178</v>
      </c>
      <c r="G14" s="5">
        <f>WashChamberDiameter</f>
        <v>4</v>
      </c>
      <c r="H14" s="5"/>
      <c r="I14" s="5"/>
    </row>
    <row r="15" spans="1:14" x14ac:dyDescent="0.3">
      <c r="A15" s="35" t="s">
        <v>162</v>
      </c>
      <c r="B15" s="36">
        <f>B14*(((B12/2)^2)*PI())</f>
        <v>276519.19069971534</v>
      </c>
      <c r="C15" s="36" t="s">
        <v>103</v>
      </c>
      <c r="D15" s="37"/>
      <c r="F15" s="5" t="s">
        <v>179</v>
      </c>
      <c r="G15" s="5">
        <v>0.25</v>
      </c>
      <c r="H15" s="5"/>
      <c r="I15" s="5"/>
    </row>
    <row r="16" spans="1:14" ht="15" thickBot="1" x14ac:dyDescent="0.35">
      <c r="A16" s="23" t="s">
        <v>87</v>
      </c>
      <c r="B16" s="34"/>
      <c r="C16" s="34"/>
      <c r="D16" s="30"/>
      <c r="F16" s="5" t="s">
        <v>181</v>
      </c>
      <c r="G16" s="5">
        <f>(G14-(2*G15))/G8</f>
        <v>9.3333333333333339</v>
      </c>
      <c r="H16" s="5"/>
      <c r="I16" s="5"/>
    </row>
    <row r="17" spans="1:24" x14ac:dyDescent="0.3">
      <c r="F17" s="5" t="s">
        <v>180</v>
      </c>
      <c r="G17" s="5">
        <v>10</v>
      </c>
      <c r="H17" s="5"/>
      <c r="I17" s="5"/>
    </row>
    <row r="21" spans="1:24" ht="15" thickBot="1" x14ac:dyDescent="0.35">
      <c r="A21" t="s">
        <v>168</v>
      </c>
    </row>
    <row r="22" spans="1:24" x14ac:dyDescent="0.3">
      <c r="A22" s="31" t="s">
        <v>166</v>
      </c>
      <c r="B22" s="32"/>
      <c r="C22" s="32"/>
      <c r="D22" s="33"/>
      <c r="F22" s="31" t="s">
        <v>163</v>
      </c>
      <c r="G22" s="32"/>
      <c r="H22" s="32"/>
      <c r="I22" s="33"/>
      <c r="K22" s="5" t="s">
        <v>182</v>
      </c>
      <c r="L22" s="5"/>
      <c r="M22" s="5"/>
      <c r="N22" s="5"/>
      <c r="P22" s="5" t="s">
        <v>187</v>
      </c>
      <c r="Q22" s="5"/>
      <c r="R22" s="5"/>
      <c r="S22" s="5"/>
      <c r="U22" s="31" t="s">
        <v>166</v>
      </c>
      <c r="V22" s="32"/>
      <c r="W22" s="32"/>
      <c r="X22" s="33"/>
    </row>
    <row r="23" spans="1:24" x14ac:dyDescent="0.3">
      <c r="A23" s="10"/>
      <c r="B23" s="5" t="s">
        <v>14</v>
      </c>
      <c r="C23" s="5" t="s">
        <v>5</v>
      </c>
      <c r="D23" s="11" t="s">
        <v>129</v>
      </c>
      <c r="F23" s="10"/>
      <c r="G23" s="5" t="s">
        <v>14</v>
      </c>
      <c r="H23" s="5" t="s">
        <v>5</v>
      </c>
      <c r="I23" s="11" t="s">
        <v>129</v>
      </c>
      <c r="K23" s="5"/>
      <c r="L23" s="5" t="s">
        <v>14</v>
      </c>
      <c r="M23" s="5" t="s">
        <v>5</v>
      </c>
      <c r="N23" s="5" t="s">
        <v>129</v>
      </c>
      <c r="P23" s="5"/>
      <c r="Q23" s="5" t="s">
        <v>14</v>
      </c>
      <c r="R23" s="5" t="s">
        <v>5</v>
      </c>
      <c r="S23" s="5" t="s">
        <v>129</v>
      </c>
      <c r="U23" s="10"/>
      <c r="V23" s="5" t="s">
        <v>14</v>
      </c>
      <c r="W23" s="5" t="s">
        <v>5</v>
      </c>
      <c r="X23" s="11" t="s">
        <v>129</v>
      </c>
    </row>
    <row r="24" spans="1:24" x14ac:dyDescent="0.3">
      <c r="A24" s="10" t="s">
        <v>80</v>
      </c>
      <c r="B24" s="5">
        <f>(PI()*WashChamberDiameter^2/4)</f>
        <v>12.566370614359172</v>
      </c>
      <c r="C24" s="5" t="s">
        <v>161</v>
      </c>
      <c r="D24" s="11"/>
      <c r="F24" s="10" t="s">
        <v>82</v>
      </c>
      <c r="G24" s="5"/>
      <c r="H24" s="5"/>
      <c r="I24" s="11"/>
      <c r="K24" s="5" t="s">
        <v>169</v>
      </c>
      <c r="L24" s="5">
        <f>G34</f>
        <v>0.5</v>
      </c>
      <c r="M24" s="5" t="s">
        <v>71</v>
      </c>
      <c r="N24" s="5"/>
      <c r="P24" s="5" t="s">
        <v>188</v>
      </c>
      <c r="Q24" s="5">
        <f>G25</f>
        <v>4</v>
      </c>
      <c r="R24" s="5"/>
      <c r="S24" s="5"/>
      <c r="U24" s="10" t="s">
        <v>282</v>
      </c>
      <c r="V24" s="5">
        <f>3/8</f>
        <v>0.375</v>
      </c>
      <c r="W24" s="5" t="s">
        <v>71</v>
      </c>
      <c r="X24" s="11"/>
    </row>
    <row r="25" spans="1:24" x14ac:dyDescent="0.3">
      <c r="A25" s="10" t="s">
        <v>78</v>
      </c>
      <c r="B25" s="5">
        <f>AppliedForceNormal/B24</f>
        <v>47.7464829275686</v>
      </c>
      <c r="C25" s="5" t="s">
        <v>13</v>
      </c>
      <c r="D25" s="11"/>
      <c r="F25" s="10" t="s">
        <v>81</v>
      </c>
      <c r="G25" s="6">
        <v>4</v>
      </c>
      <c r="H25" s="5"/>
      <c r="I25" s="11"/>
      <c r="K25" s="5" t="s">
        <v>171</v>
      </c>
      <c r="L25" s="5">
        <f>SS303FatigueStrength</f>
        <v>34800</v>
      </c>
      <c r="M25" s="5" t="s">
        <v>13</v>
      </c>
      <c r="N25" s="5"/>
      <c r="P25" t="s">
        <v>189</v>
      </c>
      <c r="Q25" s="5"/>
      <c r="R25" s="5"/>
      <c r="S25" s="5"/>
      <c r="U25" s="10" t="s">
        <v>283</v>
      </c>
      <c r="V25" s="5">
        <f>(V24^2)*PI()</f>
        <v>0.44178646691106466</v>
      </c>
      <c r="W25" s="5" t="s">
        <v>161</v>
      </c>
      <c r="X25" s="11"/>
    </row>
    <row r="26" spans="1:24" x14ac:dyDescent="0.3">
      <c r="A26" s="10" t="s">
        <v>79</v>
      </c>
      <c r="B26" s="5">
        <f>B24-(((B12/2)^2)*PI())</f>
        <v>11.965050145508002</v>
      </c>
      <c r="C26" s="5" t="s">
        <v>161</v>
      </c>
      <c r="D26" s="11"/>
      <c r="F26" s="10" t="s">
        <v>18</v>
      </c>
      <c r="G26" s="6">
        <v>2</v>
      </c>
      <c r="H26" s="5"/>
      <c r="I26" s="11"/>
      <c r="K26" s="5" t="s">
        <v>10</v>
      </c>
      <c r="L26" s="5">
        <v>5</v>
      </c>
      <c r="M26" s="5"/>
      <c r="N26" s="5"/>
      <c r="P26" s="5" t="s">
        <v>186</v>
      </c>
      <c r="Q26" s="5">
        <f>G34</f>
        <v>0.5</v>
      </c>
      <c r="R26" s="5"/>
      <c r="S26" s="5"/>
      <c r="U26" s="10" t="s">
        <v>95</v>
      </c>
      <c r="V26" s="5">
        <f>AppliedForceNormal/4</f>
        <v>150</v>
      </c>
      <c r="W26" s="5" t="s">
        <v>103</v>
      </c>
      <c r="X26" s="11"/>
    </row>
    <row r="27" spans="1:24" ht="15" thickBot="1" x14ac:dyDescent="0.35">
      <c r="A27" s="23" t="s">
        <v>77</v>
      </c>
      <c r="B27" s="34">
        <f>B25*B26</f>
        <v>571.2890625</v>
      </c>
      <c r="C27" s="34" t="s">
        <v>103</v>
      </c>
      <c r="D27" s="30"/>
      <c r="F27" s="10" t="s">
        <v>19</v>
      </c>
      <c r="G27" s="7">
        <f>((G29/G25)*G31*(G26*G30)^2)/((PI()^2)*G28)</f>
        <v>4.7557906650438149E-4</v>
      </c>
      <c r="H27" s="5"/>
      <c r="I27" s="11"/>
      <c r="K27" s="5" t="s">
        <v>173</v>
      </c>
      <c r="L27" s="5">
        <f>(G29*L26/G25)/(L25*L24)</f>
        <v>4.1040880926724137E-2</v>
      </c>
      <c r="M27" s="5"/>
      <c r="N27" s="5"/>
      <c r="P27" s="5"/>
      <c r="Q27" s="5"/>
      <c r="R27" s="5"/>
      <c r="S27" s="5"/>
      <c r="U27" s="23" t="s">
        <v>284</v>
      </c>
      <c r="V27" s="34">
        <f>V26/V25</f>
        <v>339.53054526271006</v>
      </c>
      <c r="W27" s="34" t="s">
        <v>13</v>
      </c>
      <c r="X27" s="30"/>
    </row>
    <row r="28" spans="1:24" x14ac:dyDescent="0.3">
      <c r="F28" s="10" t="s">
        <v>20</v>
      </c>
      <c r="G28" s="8">
        <f>SS303YoungsModulus</f>
        <v>28000000</v>
      </c>
      <c r="H28" s="5"/>
      <c r="I28" s="11"/>
      <c r="K28" s="5" t="s">
        <v>176</v>
      </c>
      <c r="L28" s="27">
        <f>(0.25+0.125)/2</f>
        <v>0.1875</v>
      </c>
      <c r="M28" s="5"/>
      <c r="N28" s="5"/>
      <c r="P28" s="5"/>
      <c r="Q28" s="5"/>
      <c r="R28" s="5"/>
      <c r="S28" s="5"/>
    </row>
    <row r="29" spans="1:24" x14ac:dyDescent="0.3">
      <c r="F29" s="10" t="s">
        <v>21</v>
      </c>
      <c r="G29" s="8">
        <f>B27</f>
        <v>571.2890625</v>
      </c>
      <c r="H29" s="5" t="s">
        <v>103</v>
      </c>
      <c r="I29" s="11"/>
      <c r="K29" s="5" t="s">
        <v>174</v>
      </c>
      <c r="L29" s="5">
        <f>(((L24/2)^2)*PI())-(L24*L28)</f>
        <v>0.10259954084936207</v>
      </c>
      <c r="M29" s="5"/>
      <c r="N29" s="5"/>
      <c r="P29" s="5"/>
      <c r="Q29" s="5"/>
      <c r="R29" s="5"/>
      <c r="S29" s="5"/>
    </row>
    <row r="30" spans="1:24" x14ac:dyDescent="0.3">
      <c r="F30" s="10" t="s">
        <v>23</v>
      </c>
      <c r="G30" s="7">
        <f>MachineHeight/2</f>
        <v>10.725</v>
      </c>
      <c r="H30" s="5" t="s">
        <v>71</v>
      </c>
      <c r="I30" s="11"/>
      <c r="K30" s="5" t="s">
        <v>175</v>
      </c>
      <c r="L30" s="5">
        <f>(G29/G25)/L29</f>
        <v>1392.0361089597218</v>
      </c>
      <c r="M30" s="5"/>
      <c r="N30" s="5" t="s">
        <v>76</v>
      </c>
      <c r="P30" s="5"/>
      <c r="Q30" s="5"/>
      <c r="R30" s="5"/>
      <c r="S30" s="5"/>
    </row>
    <row r="31" spans="1:24" x14ac:dyDescent="0.3">
      <c r="F31" s="10" t="s">
        <v>10</v>
      </c>
      <c r="G31" s="8">
        <v>2</v>
      </c>
      <c r="H31" s="5" t="s">
        <v>11</v>
      </c>
      <c r="I31" s="11"/>
    </row>
    <row r="32" spans="1:24" x14ac:dyDescent="0.3">
      <c r="F32" s="10" t="s">
        <v>73</v>
      </c>
      <c r="G32" s="7">
        <f>((4*G27)/PI())^0.25</f>
        <v>0.15686758558106753</v>
      </c>
      <c r="H32" s="5" t="s">
        <v>161</v>
      </c>
      <c r="I32" s="11"/>
    </row>
    <row r="33" spans="1:14" x14ac:dyDescent="0.3">
      <c r="F33" s="10" t="s">
        <v>74</v>
      </c>
      <c r="G33" s="27">
        <f>SQRT(G32/PI())*2</f>
        <v>0.44691163919609722</v>
      </c>
      <c r="H33" s="5" t="s">
        <v>71</v>
      </c>
      <c r="I33" s="11"/>
      <c r="K33" s="5" t="s">
        <v>177</v>
      </c>
      <c r="L33" s="5" t="s">
        <v>14</v>
      </c>
      <c r="M33" s="5" t="s">
        <v>5</v>
      </c>
      <c r="N33" s="11" t="s">
        <v>129</v>
      </c>
    </row>
    <row r="34" spans="1:14" x14ac:dyDescent="0.3">
      <c r="F34" s="10" t="s">
        <v>75</v>
      </c>
      <c r="G34" s="27">
        <v>0.5</v>
      </c>
      <c r="H34" s="5" t="s">
        <v>71</v>
      </c>
      <c r="I34" s="11"/>
      <c r="K34" s="5" t="s">
        <v>178</v>
      </c>
      <c r="L34" s="5">
        <f>1.29*2</f>
        <v>2.58</v>
      </c>
      <c r="M34" s="5"/>
      <c r="N34" s="5" t="s">
        <v>185</v>
      </c>
    </row>
    <row r="35" spans="1:14" x14ac:dyDescent="0.3">
      <c r="F35" s="10"/>
      <c r="G35" s="5"/>
      <c r="H35" s="5"/>
      <c r="I35" s="11"/>
      <c r="K35" s="5" t="s">
        <v>179</v>
      </c>
      <c r="L35" s="5">
        <v>0.25</v>
      </c>
      <c r="M35" s="5"/>
      <c r="N35" s="5"/>
    </row>
    <row r="36" spans="1:14" x14ac:dyDescent="0.3">
      <c r="F36" s="10" t="s">
        <v>159</v>
      </c>
      <c r="G36" s="5">
        <f>((PI()^2)*G28)/((G30/(G34/2))^2)</f>
        <v>150156.17347792178</v>
      </c>
      <c r="H36" s="5" t="s">
        <v>13</v>
      </c>
      <c r="I36" s="11" t="s">
        <v>160</v>
      </c>
      <c r="K36" s="5" t="s">
        <v>181</v>
      </c>
      <c r="L36" s="5">
        <f>(L34-(2*L35))/L28</f>
        <v>11.093333333333334</v>
      </c>
      <c r="M36" s="5"/>
      <c r="N36" s="5"/>
    </row>
    <row r="37" spans="1:14" x14ac:dyDescent="0.3">
      <c r="F37" s="10" t="s">
        <v>162</v>
      </c>
      <c r="G37" s="5">
        <f>G36*(((G34/2)^2)*PI())</f>
        <v>29483.095718087101</v>
      </c>
      <c r="H37" s="5" t="s">
        <v>103</v>
      </c>
      <c r="I37" s="11"/>
      <c r="K37" s="5" t="s">
        <v>180</v>
      </c>
      <c r="L37" s="5">
        <v>10</v>
      </c>
      <c r="M37" s="5"/>
      <c r="N37" s="5" t="s">
        <v>184</v>
      </c>
    </row>
    <row r="38" spans="1:14" ht="15" thickBot="1" x14ac:dyDescent="0.35">
      <c r="F38" s="23" t="s">
        <v>87</v>
      </c>
      <c r="G38" s="34"/>
      <c r="H38" s="34"/>
      <c r="I38" s="30"/>
    </row>
    <row r="40" spans="1:14" x14ac:dyDescent="0.3">
      <c r="A40" t="s">
        <v>286</v>
      </c>
    </row>
    <row r="42" spans="1:14" x14ac:dyDescent="0.3">
      <c r="A42" s="5" t="s">
        <v>199</v>
      </c>
      <c r="B42" s="5"/>
      <c r="C42" s="5"/>
      <c r="D42" s="5"/>
      <c r="F42" s="5" t="s">
        <v>243</v>
      </c>
      <c r="G42" s="5"/>
      <c r="H42" s="5"/>
      <c r="I42" s="5"/>
      <c r="K42" s="5" t="s">
        <v>183</v>
      </c>
      <c r="L42" s="5"/>
      <c r="M42" s="5"/>
      <c r="N42" s="5"/>
    </row>
    <row r="43" spans="1:14" x14ac:dyDescent="0.3">
      <c r="A43" s="5"/>
      <c r="B43" s="5" t="s">
        <v>14</v>
      </c>
      <c r="C43" s="5" t="s">
        <v>5</v>
      </c>
      <c r="D43" s="5" t="s">
        <v>129</v>
      </c>
      <c r="F43" s="5"/>
      <c r="G43" s="5" t="s">
        <v>14</v>
      </c>
      <c r="H43" s="5" t="s">
        <v>5</v>
      </c>
      <c r="I43" s="5" t="s">
        <v>129</v>
      </c>
      <c r="K43" s="5"/>
      <c r="L43" s="5" t="s">
        <v>14</v>
      </c>
      <c r="M43" s="5" t="s">
        <v>5</v>
      </c>
      <c r="N43" s="5" t="s">
        <v>129</v>
      </c>
    </row>
    <row r="44" spans="1:14" x14ac:dyDescent="0.3">
      <c r="A44" s="5" t="s">
        <v>190</v>
      </c>
      <c r="B44" s="5">
        <f>AppliedForceNormal</f>
        <v>600</v>
      </c>
      <c r="C44" s="5" t="s">
        <v>103</v>
      </c>
      <c r="D44" s="5"/>
      <c r="F44" s="5" t="s">
        <v>237</v>
      </c>
      <c r="G44" s="5">
        <v>0.25</v>
      </c>
      <c r="H44" s="5" t="s">
        <v>71</v>
      </c>
      <c r="I44" s="5"/>
      <c r="K44" s="5" t="s">
        <v>270</v>
      </c>
      <c r="L44" s="5">
        <v>1</v>
      </c>
      <c r="M44" s="5" t="s">
        <v>71</v>
      </c>
      <c r="N44" s="5"/>
    </row>
    <row r="45" spans="1:14" x14ac:dyDescent="0.3">
      <c r="A45" s="5" t="s">
        <v>191</v>
      </c>
      <c r="B45" s="5">
        <f>3.725*2</f>
        <v>7.45</v>
      </c>
      <c r="C45" s="5" t="s">
        <v>71</v>
      </c>
      <c r="D45" s="5" t="s">
        <v>285</v>
      </c>
      <c r="F45" s="5" t="s">
        <v>238</v>
      </c>
      <c r="G45" s="5">
        <v>2</v>
      </c>
      <c r="H45" s="5" t="s">
        <v>11</v>
      </c>
      <c r="I45" s="5"/>
      <c r="K45" s="5" t="s">
        <v>171</v>
      </c>
      <c r="L45" s="5">
        <f>SS303FatigueStrength</f>
        <v>34800</v>
      </c>
      <c r="M45" s="5" t="s">
        <v>13</v>
      </c>
      <c r="N45" s="5"/>
    </row>
    <row r="46" spans="1:14" x14ac:dyDescent="0.3">
      <c r="A46" s="5" t="s">
        <v>197</v>
      </c>
      <c r="B46" s="5">
        <f>B44/2</f>
        <v>300</v>
      </c>
      <c r="C46" s="5" t="s">
        <v>103</v>
      </c>
      <c r="D46" s="5"/>
      <c r="F46" s="5" t="s">
        <v>242</v>
      </c>
      <c r="G46" s="5">
        <f>G44*G45</f>
        <v>0.5</v>
      </c>
      <c r="H46" s="5" t="s">
        <v>71</v>
      </c>
      <c r="I46" s="5"/>
      <c r="K46" s="5" t="s">
        <v>10</v>
      </c>
      <c r="L46" s="5">
        <v>5</v>
      </c>
      <c r="M46" s="5"/>
      <c r="N46" s="5"/>
    </row>
    <row r="47" spans="1:14" x14ac:dyDescent="0.3">
      <c r="A47" s="5" t="s">
        <v>195</v>
      </c>
      <c r="B47" s="5">
        <f>B46*B45/2</f>
        <v>1117.5</v>
      </c>
      <c r="C47" s="5" t="s">
        <v>196</v>
      </c>
      <c r="D47" s="5"/>
      <c r="F47" s="5" t="s">
        <v>241</v>
      </c>
      <c r="G47" s="5">
        <f>SQRT((6*B50)/G46)</f>
        <v>0.87788931829269556</v>
      </c>
      <c r="H47" s="5" t="s">
        <v>71</v>
      </c>
      <c r="I47" s="5"/>
      <c r="K47" s="5" t="s">
        <v>173</v>
      </c>
      <c r="L47" s="5">
        <f>AppliedForceNormal*L46/(L45*L44)</f>
        <v>8.6206896551724144E-2</v>
      </c>
      <c r="M47" s="5"/>
      <c r="N47" s="5"/>
    </row>
    <row r="48" spans="1:14" x14ac:dyDescent="0.3">
      <c r="A48" s="5" t="s">
        <v>10</v>
      </c>
      <c r="B48" s="5">
        <v>2</v>
      </c>
      <c r="C48" s="5"/>
      <c r="D48" s="5"/>
      <c r="F48" s="5"/>
      <c r="G48" s="5"/>
      <c r="H48" s="5"/>
      <c r="I48" s="5"/>
      <c r="K48" s="5" t="s">
        <v>176</v>
      </c>
      <c r="L48" s="5">
        <v>0.25</v>
      </c>
      <c r="M48" s="5"/>
      <c r="N48" s="5"/>
    </row>
    <row r="49" spans="1:14" x14ac:dyDescent="0.3">
      <c r="A49" s="5" t="s">
        <v>240</v>
      </c>
      <c r="B49" s="5">
        <f>SS303FatigueStrength</f>
        <v>34800</v>
      </c>
      <c r="C49" s="5"/>
      <c r="D49" s="5"/>
      <c r="K49" s="5" t="s">
        <v>174</v>
      </c>
      <c r="L49" s="5">
        <f>(((L44/2)^2)*PI())-(L44*L48)</f>
        <v>0.53539816339744828</v>
      </c>
      <c r="M49" s="5"/>
      <c r="N49" s="5"/>
    </row>
    <row r="50" spans="1:14" x14ac:dyDescent="0.3">
      <c r="A50" s="5" t="s">
        <v>239</v>
      </c>
      <c r="B50" s="5">
        <f>B47*B48/B49</f>
        <v>6.4224137931034486E-2</v>
      </c>
      <c r="C50" s="5"/>
      <c r="D50" s="5"/>
      <c r="K50" s="5" t="s">
        <v>175</v>
      </c>
      <c r="L50" s="5">
        <f>AppliedForceNormal/L49</f>
        <v>1120.6612966182238</v>
      </c>
      <c r="M50" s="5"/>
      <c r="N50" s="5" t="s">
        <v>76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192C6-AACC-4DBA-B547-B2E0428B8816}">
  <dimension ref="A2:H33"/>
  <sheetViews>
    <sheetView topLeftCell="A21" workbookViewId="0">
      <selection activeCell="C29" sqref="C29"/>
    </sheetView>
  </sheetViews>
  <sheetFormatPr defaultRowHeight="14.4" x14ac:dyDescent="0.3"/>
  <cols>
    <col min="1" max="1" width="21.77734375" customWidth="1"/>
    <col min="2" max="2" width="26.5546875" customWidth="1"/>
    <col min="7" max="7" width="26" customWidth="1"/>
    <col min="12" max="12" width="32.77734375" customWidth="1"/>
  </cols>
  <sheetData>
    <row r="2" spans="1:5" ht="15" thickBot="1" x14ac:dyDescent="0.35"/>
    <row r="3" spans="1:5" x14ac:dyDescent="0.3">
      <c r="B3" s="31"/>
      <c r="C3" s="32"/>
      <c r="D3" s="32"/>
      <c r="E3" s="33"/>
    </row>
    <row r="4" spans="1:5" x14ac:dyDescent="0.3">
      <c r="B4" s="10" t="s">
        <v>339</v>
      </c>
      <c r="C4" s="5">
        <v>0.125</v>
      </c>
      <c r="D4" s="5" t="s">
        <v>71</v>
      </c>
      <c r="E4" s="11"/>
    </row>
    <row r="5" spans="1:5" x14ac:dyDescent="0.3">
      <c r="B5" s="10" t="s">
        <v>340</v>
      </c>
      <c r="C5">
        <v>1</v>
      </c>
      <c r="D5" s="5" t="s">
        <v>71</v>
      </c>
      <c r="E5" s="11"/>
    </row>
    <row r="6" spans="1:5" x14ac:dyDescent="0.3">
      <c r="B6" s="10" t="s">
        <v>283</v>
      </c>
      <c r="C6">
        <f>C5*C4</f>
        <v>0.125</v>
      </c>
      <c r="D6" s="5" t="s">
        <v>161</v>
      </c>
      <c r="E6" s="11"/>
    </row>
    <row r="7" spans="1:5" x14ac:dyDescent="0.3">
      <c r="B7" s="10" t="s">
        <v>346</v>
      </c>
      <c r="C7">
        <f>C18/C6</f>
        <v>4800</v>
      </c>
      <c r="D7" s="5" t="s">
        <v>13</v>
      </c>
      <c r="E7" s="11"/>
    </row>
    <row r="8" spans="1:5" x14ac:dyDescent="0.3">
      <c r="B8" s="10" t="s">
        <v>10</v>
      </c>
      <c r="C8">
        <f>C17/C7</f>
        <v>7.25</v>
      </c>
      <c r="D8" s="5" t="s">
        <v>11</v>
      </c>
      <c r="E8" s="11"/>
    </row>
    <row r="9" spans="1:5" x14ac:dyDescent="0.3">
      <c r="A9" t="s">
        <v>343</v>
      </c>
      <c r="B9" s="10" t="s">
        <v>341</v>
      </c>
      <c r="C9" s="5">
        <v>0.25</v>
      </c>
      <c r="D9" s="5"/>
      <c r="E9" s="11"/>
    </row>
    <row r="10" spans="1:5" x14ac:dyDescent="0.3">
      <c r="B10" s="10" t="s">
        <v>342</v>
      </c>
      <c r="C10" s="5">
        <f>C4*C9</f>
        <v>3.125E-2</v>
      </c>
      <c r="D10" s="5"/>
      <c r="E10" s="11"/>
    </row>
    <row r="11" spans="1:5" x14ac:dyDescent="0.3">
      <c r="B11" s="54" t="s">
        <v>346</v>
      </c>
      <c r="C11">
        <f>C18/C10</f>
        <v>19200</v>
      </c>
      <c r="D11" s="5"/>
      <c r="E11" s="11"/>
    </row>
    <row r="12" spans="1:5" x14ac:dyDescent="0.3">
      <c r="B12" s="54" t="s">
        <v>10</v>
      </c>
      <c r="C12">
        <f>C17/C11</f>
        <v>1.8125</v>
      </c>
      <c r="D12" s="5"/>
      <c r="E12" s="11"/>
    </row>
    <row r="13" spans="1:5" x14ac:dyDescent="0.3">
      <c r="A13" t="s">
        <v>344</v>
      </c>
      <c r="B13" s="10" t="s">
        <v>345</v>
      </c>
      <c r="C13">
        <f>(C9/2)^2*PI()</f>
        <v>4.9087385212340517E-2</v>
      </c>
      <c r="D13" s="5"/>
      <c r="E13" s="11"/>
    </row>
    <row r="14" spans="1:5" x14ac:dyDescent="0.3">
      <c r="B14" s="10"/>
      <c r="D14" s="5"/>
      <c r="E14" s="11"/>
    </row>
    <row r="15" spans="1:5" ht="15" thickBot="1" x14ac:dyDescent="0.35">
      <c r="B15" s="23" t="s">
        <v>347</v>
      </c>
      <c r="C15">
        <f>C6-C10</f>
        <v>9.375E-2</v>
      </c>
      <c r="D15" s="34"/>
      <c r="E15" s="30"/>
    </row>
    <row r="17" spans="2:8" x14ac:dyDescent="0.3">
      <c r="C17" s="5">
        <f>SS303FatigueStrength</f>
        <v>34800</v>
      </c>
    </row>
    <row r="18" spans="2:8" x14ac:dyDescent="0.3">
      <c r="C18" s="5">
        <f>AppliedForceNormal</f>
        <v>600</v>
      </c>
    </row>
    <row r="23" spans="2:8" ht="15" thickBot="1" x14ac:dyDescent="0.35">
      <c r="B23" t="s">
        <v>199</v>
      </c>
    </row>
    <row r="24" spans="2:8" x14ac:dyDescent="0.3">
      <c r="B24" s="31" t="s">
        <v>266</v>
      </c>
      <c r="C24" s="32"/>
      <c r="D24" s="32"/>
      <c r="E24" s="33"/>
      <c r="G24" t="s">
        <v>348</v>
      </c>
      <c r="H24">
        <v>0.25</v>
      </c>
    </row>
    <row r="25" spans="2:8" x14ac:dyDescent="0.3">
      <c r="B25" s="10"/>
      <c r="C25" s="5" t="s">
        <v>14</v>
      </c>
      <c r="D25" s="5" t="s">
        <v>5</v>
      </c>
      <c r="E25" s="11" t="s">
        <v>129</v>
      </c>
      <c r="G25" t="s">
        <v>300</v>
      </c>
      <c r="H25">
        <v>1.75</v>
      </c>
    </row>
    <row r="26" spans="2:8" x14ac:dyDescent="0.3">
      <c r="B26" s="10" t="s">
        <v>267</v>
      </c>
      <c r="C26" s="5">
        <v>200</v>
      </c>
      <c r="D26" s="5" t="s">
        <v>103</v>
      </c>
      <c r="E26" s="11" t="s">
        <v>268</v>
      </c>
      <c r="G26" t="s">
        <v>227</v>
      </c>
      <c r="H26">
        <f>(H24*H25^2)/6</f>
        <v>0.12760416666666666</v>
      </c>
    </row>
    <row r="27" spans="2:8" x14ac:dyDescent="0.3">
      <c r="B27" s="10" t="s">
        <v>190</v>
      </c>
      <c r="C27" s="5">
        <f>AppliedForceNormal+C26</f>
        <v>800</v>
      </c>
      <c r="D27" s="5" t="s">
        <v>103</v>
      </c>
      <c r="E27" s="11"/>
    </row>
    <row r="28" spans="2:8" x14ac:dyDescent="0.3">
      <c r="B28" s="10" t="s">
        <v>191</v>
      </c>
      <c r="C28" s="5">
        <f>MachineWidth-0.25</f>
        <v>8.25</v>
      </c>
      <c r="D28" s="5" t="s">
        <v>71</v>
      </c>
      <c r="E28" s="11" t="s">
        <v>244</v>
      </c>
    </row>
    <row r="29" spans="2:8" x14ac:dyDescent="0.3">
      <c r="B29" s="10" t="s">
        <v>197</v>
      </c>
      <c r="C29" s="5">
        <f>C27/2</f>
        <v>400</v>
      </c>
      <c r="D29" s="5" t="s">
        <v>103</v>
      </c>
      <c r="E29" s="11"/>
    </row>
    <row r="30" spans="2:8" x14ac:dyDescent="0.3">
      <c r="B30" s="10" t="s">
        <v>195</v>
      </c>
      <c r="C30" s="5">
        <f>C29*C28/2</f>
        <v>1650</v>
      </c>
      <c r="D30" s="5" t="s">
        <v>196</v>
      </c>
      <c r="E30" s="11"/>
    </row>
    <row r="31" spans="2:8" x14ac:dyDescent="0.3">
      <c r="B31" s="10" t="s">
        <v>10</v>
      </c>
      <c r="C31" s="5">
        <v>2</v>
      </c>
      <c r="D31" s="5" t="s">
        <v>11</v>
      </c>
      <c r="E31" s="11"/>
    </row>
    <row r="32" spans="2:8" x14ac:dyDescent="0.3">
      <c r="B32" s="10" t="s">
        <v>240</v>
      </c>
      <c r="C32" s="5">
        <f>SS303FatigueStrength</f>
        <v>34800</v>
      </c>
      <c r="D32" s="5" t="s">
        <v>13</v>
      </c>
      <c r="E32" s="11"/>
    </row>
    <row r="33" spans="2:5" ht="15" thickBot="1" x14ac:dyDescent="0.35">
      <c r="B33" s="23" t="s">
        <v>239</v>
      </c>
      <c r="C33" s="34">
        <f>C30*C31/C32</f>
        <v>9.4827586206896547E-2</v>
      </c>
      <c r="D33" s="34" t="s">
        <v>337</v>
      </c>
      <c r="E33" s="30"/>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C7E393-217F-47B1-AEB5-314CED4C9834}">
  <dimension ref="C2:L24"/>
  <sheetViews>
    <sheetView workbookViewId="0">
      <selection activeCell="F19" sqref="F19"/>
    </sheetView>
  </sheetViews>
  <sheetFormatPr defaultRowHeight="14.4" x14ac:dyDescent="0.3"/>
  <cols>
    <col min="4" max="4" width="23.5546875" customWidth="1"/>
    <col min="5" max="5" width="10" customWidth="1"/>
    <col min="10" max="10" width="29.5546875" customWidth="1"/>
  </cols>
  <sheetData>
    <row r="2" spans="3:12" x14ac:dyDescent="0.3">
      <c r="J2" t="s">
        <v>322</v>
      </c>
    </row>
    <row r="3" spans="3:12" x14ac:dyDescent="0.3">
      <c r="D3" t="s">
        <v>294</v>
      </c>
    </row>
    <row r="4" spans="3:12" x14ac:dyDescent="0.3">
      <c r="C4" t="s">
        <v>16</v>
      </c>
      <c r="E4" t="s">
        <v>14</v>
      </c>
      <c r="F4" t="s">
        <v>5</v>
      </c>
      <c r="J4" t="s">
        <v>295</v>
      </c>
      <c r="K4" t="s">
        <v>296</v>
      </c>
    </row>
    <row r="5" spans="3:12" x14ac:dyDescent="0.3">
      <c r="D5" t="s">
        <v>318</v>
      </c>
      <c r="E5">
        <f>AppliedForceNormal/E6</f>
        <v>300</v>
      </c>
      <c r="J5" s="44">
        <f>1/3</f>
        <v>0.33333333333333331</v>
      </c>
      <c r="K5" t="s">
        <v>299</v>
      </c>
    </row>
    <row r="6" spans="3:12" x14ac:dyDescent="0.3">
      <c r="D6" t="s">
        <v>319</v>
      </c>
      <c r="E6">
        <v>2</v>
      </c>
    </row>
    <row r="7" spans="3:12" x14ac:dyDescent="0.3">
      <c r="D7" t="s">
        <v>306</v>
      </c>
      <c r="E7">
        <v>10</v>
      </c>
      <c r="F7" t="s">
        <v>310</v>
      </c>
    </row>
    <row r="8" spans="3:12" x14ac:dyDescent="0.3">
      <c r="D8" t="s">
        <v>297</v>
      </c>
      <c r="E8">
        <v>0.5</v>
      </c>
      <c r="F8" t="s">
        <v>71</v>
      </c>
    </row>
    <row r="9" spans="3:12" x14ac:dyDescent="0.3">
      <c r="C9" s="3" t="s">
        <v>304</v>
      </c>
      <c r="D9" t="s">
        <v>298</v>
      </c>
      <c r="E9">
        <v>0.4</v>
      </c>
      <c r="F9" t="s">
        <v>71</v>
      </c>
    </row>
    <row r="10" spans="3:12" x14ac:dyDescent="0.3">
      <c r="C10" s="3"/>
      <c r="D10" t="s">
        <v>321</v>
      </c>
      <c r="E10">
        <f>(E9+E8)/2</f>
        <v>0.45</v>
      </c>
      <c r="F10" t="s">
        <v>71</v>
      </c>
      <c r="J10" s="45" t="s">
        <v>323</v>
      </c>
      <c r="K10" s="45" t="s">
        <v>317</v>
      </c>
    </row>
    <row r="11" spans="3:12" x14ac:dyDescent="0.3">
      <c r="D11" t="s">
        <v>300</v>
      </c>
      <c r="E11">
        <v>1</v>
      </c>
      <c r="F11" t="s">
        <v>71</v>
      </c>
      <c r="J11" s="45" t="s">
        <v>324</v>
      </c>
      <c r="K11" s="45">
        <f>'Motor Sizing Calcs'!L8</f>
        <v>218.89637514623882</v>
      </c>
      <c r="L11" t="s">
        <v>103</v>
      </c>
    </row>
    <row r="12" spans="3:12" x14ac:dyDescent="0.3">
      <c r="C12" s="3" t="s">
        <v>303</v>
      </c>
      <c r="D12" t="s">
        <v>116</v>
      </c>
      <c r="E12" t="s">
        <v>302</v>
      </c>
      <c r="F12" t="s">
        <v>11</v>
      </c>
      <c r="J12" t="s">
        <v>320</v>
      </c>
      <c r="K12">
        <v>3.73</v>
      </c>
      <c r="L12" t="s">
        <v>71</v>
      </c>
    </row>
    <row r="13" spans="3:12" x14ac:dyDescent="0.3">
      <c r="D13" t="s">
        <v>301</v>
      </c>
      <c r="E13">
        <v>18100</v>
      </c>
      <c r="F13" t="s">
        <v>13</v>
      </c>
      <c r="J13" t="s">
        <v>325</v>
      </c>
      <c r="K13">
        <f>E10/2</f>
        <v>0.22500000000000001</v>
      </c>
      <c r="L13" t="s">
        <v>71</v>
      </c>
    </row>
    <row r="14" spans="3:12" x14ac:dyDescent="0.3">
      <c r="D14" t="s">
        <v>305</v>
      </c>
      <c r="E14">
        <v>27700</v>
      </c>
      <c r="F14" t="s">
        <v>13</v>
      </c>
      <c r="J14" t="s">
        <v>330</v>
      </c>
      <c r="K14">
        <f>K12-K13</f>
        <v>3.5049999999999999</v>
      </c>
      <c r="L14" t="s">
        <v>71</v>
      </c>
    </row>
    <row r="15" spans="3:12" x14ac:dyDescent="0.3">
      <c r="D15" t="s">
        <v>311</v>
      </c>
      <c r="E15">
        <v>1</v>
      </c>
      <c r="F15" t="s">
        <v>314</v>
      </c>
      <c r="J15" t="s">
        <v>331</v>
      </c>
      <c r="K15">
        <f>K12+K13</f>
        <v>3.9550000000000001</v>
      </c>
      <c r="L15" t="s">
        <v>71</v>
      </c>
    </row>
    <row r="16" spans="3:12" x14ac:dyDescent="0.3">
      <c r="D16" t="s">
        <v>312</v>
      </c>
      <c r="E16">
        <f>E15*J5</f>
        <v>0.33333333333333331</v>
      </c>
      <c r="F16" t="s">
        <v>314</v>
      </c>
      <c r="J16" t="s">
        <v>326</v>
      </c>
      <c r="K16">
        <f>($K$11*$K$15)</f>
        <v>865.73516370337461</v>
      </c>
      <c r="L16" t="s">
        <v>332</v>
      </c>
    </row>
    <row r="17" spans="4:12" x14ac:dyDescent="0.3">
      <c r="D17" t="s">
        <v>315</v>
      </c>
      <c r="E17">
        <f>E7*E16</f>
        <v>3.333333333333333</v>
      </c>
      <c r="F17" t="s">
        <v>316</v>
      </c>
      <c r="J17" t="s">
        <v>327</v>
      </c>
      <c r="K17">
        <f>(-1*$K$11*-1*$K$15)</f>
        <v>865.73516370337461</v>
      </c>
      <c r="L17" t="s">
        <v>332</v>
      </c>
    </row>
    <row r="18" spans="4:12" x14ac:dyDescent="0.3">
      <c r="J18" t="s">
        <v>328</v>
      </c>
      <c r="K18">
        <f>($K$11*-1*$K$14)</f>
        <v>-767.23179488756705</v>
      </c>
      <c r="L18" t="s">
        <v>332</v>
      </c>
    </row>
    <row r="19" spans="4:12" x14ac:dyDescent="0.3">
      <c r="D19" t="s">
        <v>307</v>
      </c>
      <c r="E19">
        <f>PI()*E8*(E7/2)</f>
        <v>7.8539816339744828</v>
      </c>
      <c r="F19" t="s">
        <v>309</v>
      </c>
      <c r="J19" t="s">
        <v>329</v>
      </c>
      <c r="K19">
        <f>(-1*$K$11*$K$14)</f>
        <v>-767.23179488756705</v>
      </c>
      <c r="L19" t="s">
        <v>332</v>
      </c>
    </row>
    <row r="20" spans="4:12" x14ac:dyDescent="0.3">
      <c r="D20" t="s">
        <v>308</v>
      </c>
      <c r="E20">
        <f>((E8/2)^2*PI())-((E9/2)^2*PI())</f>
        <v>7.0685834705770334E-2</v>
      </c>
      <c r="F20" t="s">
        <v>161</v>
      </c>
      <c r="K20">
        <f>SUM(K16:K19)</f>
        <v>197.00673763161512</v>
      </c>
      <c r="L20" t="s">
        <v>332</v>
      </c>
    </row>
    <row r="21" spans="4:12" x14ac:dyDescent="0.3">
      <c r="K21">
        <f>K20/12</f>
        <v>16.417228135967928</v>
      </c>
      <c r="L21" t="s">
        <v>333</v>
      </c>
    </row>
    <row r="22" spans="4:12" x14ac:dyDescent="0.3">
      <c r="D22" t="s">
        <v>313</v>
      </c>
      <c r="E22">
        <f>E19*E16</f>
        <v>2.617993877991494</v>
      </c>
    </row>
    <row r="23" spans="4:12" x14ac:dyDescent="0.3">
      <c r="E23">
        <f>E5/E22</f>
        <v>114.59155902616466</v>
      </c>
      <c r="J23" t="s">
        <v>334</v>
      </c>
      <c r="K23">
        <f>K20/MachineWidth</f>
        <v>23.17726325077825</v>
      </c>
      <c r="L23" t="s">
        <v>4</v>
      </c>
    </row>
    <row r="24" spans="4:12" x14ac:dyDescent="0.3">
      <c r="E24">
        <f>E5/E20</f>
        <v>4244.1318157838768</v>
      </c>
      <c r="J24" t="s">
        <v>335</v>
      </c>
      <c r="K24">
        <f>K23*MachineHeight/MachineWidth</f>
        <v>58.488505497552168</v>
      </c>
      <c r="L24" t="s">
        <v>4</v>
      </c>
    </row>
  </sheetData>
  <hyperlinks>
    <hyperlink ref="C9" r:id="rId1" xr:uid="{5A4A44F5-703C-4291-8712-8D5C92DA5DC0}"/>
    <hyperlink ref="C12" r:id="rId2" xr:uid="{E6408F74-ED19-444E-8B52-BB0148BE4662}"/>
  </hyperlinks>
  <pageMargins left="0.7" right="0.7" top="0.75" bottom="0.75" header="0.3" footer="0.3"/>
  <pageSetup orientation="portrait"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A2221C-5C0B-46B0-85B0-C1695986BBCC}">
  <dimension ref="A1:F22"/>
  <sheetViews>
    <sheetView workbookViewId="0">
      <selection activeCell="E8" sqref="E8"/>
    </sheetView>
  </sheetViews>
  <sheetFormatPr defaultRowHeight="14.4" x14ac:dyDescent="0.3"/>
  <cols>
    <col min="1" max="1" width="34" customWidth="1"/>
    <col min="4" max="4" width="23.44140625" customWidth="1"/>
  </cols>
  <sheetData>
    <row r="1" spans="1:6" x14ac:dyDescent="0.3">
      <c r="A1" t="s">
        <v>75</v>
      </c>
      <c r="B1" s="45">
        <v>0.875</v>
      </c>
    </row>
    <row r="2" spans="1:6" x14ac:dyDescent="0.3">
      <c r="A2" t="s">
        <v>141</v>
      </c>
      <c r="B2" s="45">
        <v>4</v>
      </c>
      <c r="E2" t="s">
        <v>33</v>
      </c>
    </row>
    <row r="3" spans="1:6" x14ac:dyDescent="0.3">
      <c r="A3" t="s">
        <v>142</v>
      </c>
      <c r="B3" s="45">
        <v>21.45</v>
      </c>
    </row>
    <row r="4" spans="1:6" x14ac:dyDescent="0.3">
      <c r="A4" t="s">
        <v>143</v>
      </c>
      <c r="B4" s="57">
        <f>B15</f>
        <v>7.84</v>
      </c>
    </row>
    <row r="7" spans="1:6" x14ac:dyDescent="0.3">
      <c r="A7" s="5" t="s">
        <v>271</v>
      </c>
      <c r="B7" s="5"/>
      <c r="D7" t="s">
        <v>276</v>
      </c>
      <c r="E7" s="56" cm="1">
        <f t="array" ref="E7">(MMH-PTIH)*(((WCID/2)^2)-((WPRT/2)^2))/((2*((WCID/2)^2))-((WPRT/2)^2))</f>
        <v>6.6381940970485243</v>
      </c>
      <c r="F7" t="s">
        <v>144</v>
      </c>
    </row>
    <row r="8" spans="1:6" x14ac:dyDescent="0.3">
      <c r="A8" s="5" t="s">
        <v>272</v>
      </c>
      <c r="B8" s="6">
        <v>2</v>
      </c>
      <c r="D8" t="s">
        <v>277</v>
      </c>
      <c r="E8" s="56">
        <f>(WPRT^2)*E7/((WCID^2)-(WPRT^2))</f>
        <v>0.33361180590295147</v>
      </c>
    </row>
    <row r="9" spans="1:6" x14ac:dyDescent="0.3">
      <c r="A9" s="5" t="s">
        <v>273</v>
      </c>
      <c r="B9" s="6">
        <v>1.67</v>
      </c>
    </row>
    <row r="10" spans="1:6" x14ac:dyDescent="0.3">
      <c r="A10" s="5" t="s">
        <v>252</v>
      </c>
      <c r="B10" s="6">
        <v>1</v>
      </c>
      <c r="D10" t="s">
        <v>278</v>
      </c>
      <c r="E10" s="56">
        <f>E7+E8+B9+B11</f>
        <v>10.311805902951475</v>
      </c>
    </row>
    <row r="11" spans="1:6" x14ac:dyDescent="0.3">
      <c r="A11" s="5" t="s">
        <v>274</v>
      </c>
      <c r="B11" s="6">
        <v>1.67</v>
      </c>
      <c r="D11" t="s">
        <v>279</v>
      </c>
      <c r="E11" s="56">
        <f>E7+E8+B11</f>
        <v>8.6418059029514751</v>
      </c>
      <c r="F11" t="s">
        <v>280</v>
      </c>
    </row>
    <row r="12" spans="1:6" x14ac:dyDescent="0.3">
      <c r="A12" s="5" t="s">
        <v>251</v>
      </c>
      <c r="B12" s="6">
        <v>1</v>
      </c>
      <c r="D12" t="s">
        <v>281</v>
      </c>
      <c r="E12" s="56">
        <f>E7+E8+B10</f>
        <v>7.9718059029514761</v>
      </c>
    </row>
    <row r="13" spans="1:6" x14ac:dyDescent="0.3">
      <c r="A13" s="5" t="s">
        <v>338</v>
      </c>
      <c r="B13" s="6">
        <v>0.5</v>
      </c>
    </row>
    <row r="14" spans="1:6" x14ac:dyDescent="0.3">
      <c r="A14" s="5"/>
      <c r="B14" s="5"/>
    </row>
    <row r="15" spans="1:6" x14ac:dyDescent="0.3">
      <c r="A15" s="5" t="s">
        <v>275</v>
      </c>
      <c r="B15" s="55">
        <f>SUM(B8:B13)</f>
        <v>7.84</v>
      </c>
    </row>
    <row r="22" spans="1:2" x14ac:dyDescent="0.3">
      <c r="A22" t="s">
        <v>349</v>
      </c>
      <c r="B22" s="56">
        <f>AppliedForceNormal/(PI()*(WCID/2)^2)</f>
        <v>47.7464829275686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F40096-3C22-48AC-994A-0768CD3A5344}">
  <dimension ref="A5:C19"/>
  <sheetViews>
    <sheetView topLeftCell="A4" workbookViewId="0">
      <selection activeCell="C10" sqref="C10"/>
    </sheetView>
  </sheetViews>
  <sheetFormatPr defaultRowHeight="14.4" x14ac:dyDescent="0.3"/>
  <cols>
    <col min="1" max="1" width="20.21875" customWidth="1"/>
    <col min="2" max="2" width="33.5546875" customWidth="1"/>
  </cols>
  <sheetData>
    <row r="5" spans="1:3" x14ac:dyDescent="0.3">
      <c r="B5" t="s">
        <v>224</v>
      </c>
      <c r="C5" s="3" t="s">
        <v>208</v>
      </c>
    </row>
    <row r="8" spans="1:3" x14ac:dyDescent="0.3">
      <c r="A8" t="s">
        <v>225</v>
      </c>
      <c r="B8" t="s">
        <v>227</v>
      </c>
      <c r="C8" s="3" t="s">
        <v>226</v>
      </c>
    </row>
    <row r="9" spans="1:3" x14ac:dyDescent="0.3">
      <c r="C9" s="3" t="s">
        <v>201</v>
      </c>
    </row>
    <row r="10" spans="1:3" x14ac:dyDescent="0.3">
      <c r="C10" s="3" t="s">
        <v>200</v>
      </c>
    </row>
    <row r="11" spans="1:3" x14ac:dyDescent="0.3">
      <c r="C11" s="3" t="s">
        <v>198</v>
      </c>
    </row>
    <row r="13" spans="1:3" x14ac:dyDescent="0.3">
      <c r="A13" t="s">
        <v>209</v>
      </c>
      <c r="B13" t="s">
        <v>211</v>
      </c>
      <c r="C13" s="3" t="s">
        <v>210</v>
      </c>
    </row>
    <row r="14" spans="1:3" x14ac:dyDescent="0.3">
      <c r="B14" t="s">
        <v>212</v>
      </c>
      <c r="C14" s="3" t="s">
        <v>213</v>
      </c>
    </row>
    <row r="15" spans="1:3" x14ac:dyDescent="0.3">
      <c r="B15" t="s">
        <v>215</v>
      </c>
      <c r="C15" s="3" t="s">
        <v>214</v>
      </c>
    </row>
    <row r="16" spans="1:3" x14ac:dyDescent="0.3">
      <c r="B16" t="s">
        <v>217</v>
      </c>
      <c r="C16" s="3" t="s">
        <v>216</v>
      </c>
    </row>
    <row r="17" spans="2:3" x14ac:dyDescent="0.3">
      <c r="B17" t="s">
        <v>219</v>
      </c>
      <c r="C17" s="3" t="s">
        <v>218</v>
      </c>
    </row>
    <row r="18" spans="2:3" x14ac:dyDescent="0.3">
      <c r="B18" t="s">
        <v>221</v>
      </c>
      <c r="C18" s="3" t="s">
        <v>220</v>
      </c>
    </row>
    <row r="19" spans="2:3" x14ac:dyDescent="0.3">
      <c r="B19" t="s">
        <v>222</v>
      </c>
      <c r="C19" s="3" t="s">
        <v>223</v>
      </c>
    </row>
  </sheetData>
  <hyperlinks>
    <hyperlink ref="C5" r:id="rId1" display="https://s3.amazonaws.com/www.motionusa.com/nook/AcmeScrewsandLeadScrews/PowerAc_Technical_Introduction.pdf" xr:uid="{61E2D891-AD0B-4E5F-B93A-369198A6FC1F}"/>
    <hyperlink ref="C13" r:id="rId2" display="https://www.youtube.com/watch?v=IEURRpiXw0A&amp;ab_channel=KETIVTechnologies" xr:uid="{470CEF69-BA8B-4EDD-9789-758D5116F88C}"/>
    <hyperlink ref="C14" r:id="rId3" display="https://www.youtube.com/watch?v=-boTG63iuU8&amp;ab_channel=InventorTutorials" xr:uid="{171FD47A-297A-4D8A-8E20-E84AA50AB7CF}"/>
    <hyperlink ref="C15" r:id="rId4" display="https://www.youtube.com/watch?v=QqAxnKq4804&amp;ab_channel=CADwave" xr:uid="{C3342291-9C1C-4DA9-8FFB-B1E189BAAF6D}"/>
    <hyperlink ref="C16" r:id="rId5" display="https://www.youtube.com/watch?v=XMdkNPOzI-g&amp;ab_channel=ConstantinStancescu" xr:uid="{CADBB44C-2A51-4A7D-8385-FBC5DF90E8A1}"/>
    <hyperlink ref="C17" r:id="rId6" display="https://help.autodesk.com/view/INVNTOR/2014/ENU/?guid=GUID-77BAE285-4803-4DCA-9AE0-919C7A862D4C" xr:uid="{B77B5351-809E-4441-BC0E-E46B189B3201}"/>
    <hyperlink ref="C18" r:id="rId7" display="https://help.autodesk.com/view/INVNTOR/2022/ENU/?guid=GUID-D96F0063-3813-4EED-98FA-C34D3946265C" xr:uid="{17A6B94A-F2BF-4BA0-BD40-DC9FFCA54C71}"/>
    <hyperlink ref="C19" r:id="rId8" display="https://www.youtube.com/watch?v=qejdeREv4yQ&amp;list=PL992BCE4AB35AD129&amp;index=5&amp;ab_channel=TEDCFPublishing" xr:uid="{CB8EFD32-A070-4DB1-B79D-B2C58CD645FD}"/>
    <hyperlink ref="C8" r:id="rId9" location=":~:text=Equations%20for%20the%20section%20moduli%20of" display="https://www.engineersedge.com/material_science/section_modulus_12893.htm - :~:text=Equations%20for%20the%20section%20moduli%20of" xr:uid="{EEC1E151-1F84-4EE2-B4D9-6F6A2CD98E59}"/>
    <hyperlink ref="C11" r:id="rId10" location=":~:text=The%20bending%20moment,%20M,%20along%20the%20length#:~:text=The%20bending%20moment,%20M,%20along%20the%20length" display="https://mechanicalc.com/reference/beam-analysis - :~:text=The%20bending%20moment,%20M,%20along%20the%20length#:~:text=The%20bending%20moment,%20M,%20along%20the%20length" xr:uid="{759D6FF9-602F-404F-B489-CCCDE2271B97}"/>
    <hyperlink ref="C10" r:id="rId11" location=":~:text=The%20bending%20stress%20in%20a%20bending%20beam%20can" display="https://www.engineeringtoolbox.com/beam-stress-deflection-d_1312.html - :~:text=The%20bending%20stress%20in%20a%20bending%20beam%20can" xr:uid="{296F07B6-648C-474F-9995-60C904037101}"/>
    <hyperlink ref="C9" r:id="rId12" location=":~:text=Introduction.%20Figures%201%20through%2032" display="https://engineering.purdue.edu/~ce474/Docs/DA6-BeamFormulas.pdf - :~:text=Introduction.%20Figures%201%20through%2032" xr:uid="{0B98366A-E9AA-422D-9022-1814824E801C}"/>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5C0A57-75E1-4C82-BEEC-8882CA08F993}">
  <dimension ref="C6:D22"/>
  <sheetViews>
    <sheetView topLeftCell="A7" workbookViewId="0">
      <selection activeCell="C7" sqref="C7"/>
    </sheetView>
  </sheetViews>
  <sheetFormatPr defaultRowHeight="14.4" x14ac:dyDescent="0.3"/>
  <cols>
    <col min="3" max="3" width="95.109375" customWidth="1"/>
  </cols>
  <sheetData>
    <row r="6" spans="3:4" x14ac:dyDescent="0.3">
      <c r="C6" t="s">
        <v>228</v>
      </c>
    </row>
    <row r="7" spans="3:4" x14ac:dyDescent="0.3">
      <c r="C7" t="s">
        <v>25</v>
      </c>
    </row>
    <row r="9" spans="3:4" x14ac:dyDescent="0.3">
      <c r="C9" s="2" t="s">
        <v>26</v>
      </c>
    </row>
    <row r="10" spans="3:4" x14ac:dyDescent="0.3">
      <c r="C10" s="2" t="s">
        <v>27</v>
      </c>
    </row>
    <row r="12" spans="3:4" x14ac:dyDescent="0.3">
      <c r="C12" t="s">
        <v>28</v>
      </c>
      <c r="D12" t="s">
        <v>29</v>
      </c>
    </row>
    <row r="13" spans="3:4" x14ac:dyDescent="0.3">
      <c r="C13" t="s">
        <v>30</v>
      </c>
      <c r="D13" t="s">
        <v>31</v>
      </c>
    </row>
    <row r="14" spans="3:4" x14ac:dyDescent="0.3">
      <c r="C14" t="s">
        <v>32</v>
      </c>
      <c r="D14" t="s">
        <v>33</v>
      </c>
    </row>
    <row r="18" spans="3:4" x14ac:dyDescent="0.3">
      <c r="C18" t="s">
        <v>34</v>
      </c>
    </row>
    <row r="19" spans="3:4" x14ac:dyDescent="0.3">
      <c r="C19" t="s">
        <v>35</v>
      </c>
      <c r="D19" t="s">
        <v>36</v>
      </c>
    </row>
    <row r="20" spans="3:4" x14ac:dyDescent="0.3">
      <c r="C20" t="s">
        <v>37</v>
      </c>
      <c r="D20" t="s">
        <v>38</v>
      </c>
    </row>
    <row r="21" spans="3:4" x14ac:dyDescent="0.3">
      <c r="C21" t="s">
        <v>39</v>
      </c>
      <c r="D21" t="s">
        <v>40</v>
      </c>
    </row>
    <row r="22" spans="3:4" x14ac:dyDescent="0.3">
      <c r="C22" t="s">
        <v>41</v>
      </c>
      <c r="D22" t="s">
        <v>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17</vt:i4>
      </vt:variant>
    </vt:vector>
  </HeadingPairs>
  <TitlesOfParts>
    <vt:vector size="25" baseType="lpstr">
      <vt:lpstr>Design and Material Specs</vt:lpstr>
      <vt:lpstr>Motor Sizing Calcs</vt:lpstr>
      <vt:lpstr>Piston Thrust Calcs</vt:lpstr>
      <vt:lpstr>Frame Calcs</vt:lpstr>
      <vt:lpstr>Screw Calculations</vt:lpstr>
      <vt:lpstr>Piston Travel &amp; Pressure Calcs</vt:lpstr>
      <vt:lpstr>Sources</vt:lpstr>
      <vt:lpstr>Equation Derivation</vt:lpstr>
      <vt:lpstr>AmbientPressureAbsolute</vt:lpstr>
      <vt:lpstr>AppliedForceNormal</vt:lpstr>
      <vt:lpstr>CoeffStaticFrictionBrassonSteelLubricated</vt:lpstr>
      <vt:lpstr>FS</vt:lpstr>
      <vt:lpstr>lfb2N</vt:lpstr>
      <vt:lpstr>MachineHeight</vt:lpstr>
      <vt:lpstr>MachineLength</vt:lpstr>
      <vt:lpstr>MachineWidth</vt:lpstr>
      <vt:lpstr>MMH</vt:lpstr>
      <vt:lpstr>PistonSpeed</vt:lpstr>
      <vt:lpstr>PTIH</vt:lpstr>
      <vt:lpstr>SS303FatigueStrength</vt:lpstr>
      <vt:lpstr>SS303YieldStrength</vt:lpstr>
      <vt:lpstr>SS303YoungsModulus</vt:lpstr>
      <vt:lpstr>WashChamberDiameter</vt:lpstr>
      <vt:lpstr>WCID</vt:lpstr>
      <vt:lpstr>WPRT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 ROHMANN, THOMAS</dc:creator>
  <cp:lastModifiedBy>Tommy Rohmann</cp:lastModifiedBy>
  <dcterms:created xsi:type="dcterms:W3CDTF">2024-03-29T19:26:34Z</dcterms:created>
  <dcterms:modified xsi:type="dcterms:W3CDTF">2026-02-04T02:20:34Z</dcterms:modified>
</cp:coreProperties>
</file>