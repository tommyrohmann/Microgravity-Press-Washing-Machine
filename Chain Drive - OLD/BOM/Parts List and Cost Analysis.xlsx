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BOM/"/>
    </mc:Choice>
  </mc:AlternateContent>
  <xr:revisionPtr revIDLastSave="2" documentId="14_{CAD6B71A-CD2D-4495-9288-58EDA39AA08E}" xr6:coauthVersionLast="47" xr6:coauthVersionMax="47" xr10:uidLastSave="{CC6B96BE-0119-4A8D-A8CC-00ECC06FFDB1}"/>
  <bookViews>
    <workbookView xWindow="-96" yWindow="-96" windowWidth="17472" windowHeight="10992" xr2:uid="{00000000-000D-0000-FFFF-FFFF00000000}"/>
  </bookViews>
  <sheets>
    <sheet name="Parts &amp; Assembly List" sheetId="1" r:id="rId1"/>
    <sheet name="Part Count and Cost Estimate" sheetId="5" r:id="rId2"/>
    <sheet name="Tools Needed" sheetId="2" r:id="rId3"/>
    <sheet name="Part Catagory Key" sheetId="3" r:id="rId4"/>
    <sheet name="Temp" sheetId="6" r:id="rId5"/>
    <sheet name="Operational Consumabl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F65" i="1"/>
  <c r="B1" i="5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I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J65" i="1" l="1"/>
  <c r="K65" i="1" s="1"/>
  <c r="B2" i="5" s="1"/>
  <c r="B3" i="5" s="1"/>
  <c r="M114" i="1" a="1"/>
  <c r="M114" i="1" l="1"/>
  <c r="M86" i="1"/>
  <c r="M86" i="1" a="1"/>
  <c r="M108" i="1"/>
  <c r="M108" i="1" a="1"/>
  <c r="M39" i="1"/>
  <c r="M39" i="1" a="1"/>
  <c r="M15" i="1"/>
  <c r="M15" i="1" a="1"/>
  <c r="M119" i="1"/>
  <c r="M119" i="1" a="1"/>
  <c r="M112" i="1"/>
  <c r="M112" i="1" a="1"/>
  <c r="M109" i="1"/>
  <c r="M109" i="1" a="1"/>
  <c r="M13" i="1"/>
  <c r="M13" i="1" a="1"/>
  <c r="M78" i="1"/>
  <c r="M78" i="1" a="1"/>
  <c r="M12" i="1"/>
  <c r="M12" i="1" a="1"/>
  <c r="M68" i="1"/>
  <c r="M68" i="1" a="1"/>
  <c r="M90" i="1"/>
  <c r="M90" i="1" a="1"/>
  <c r="M116" i="1"/>
  <c r="M116" i="1" a="1"/>
  <c r="M69" i="1"/>
  <c r="M69" i="1" a="1"/>
  <c r="M31" i="1"/>
  <c r="M31" i="1" a="1"/>
  <c r="M20" i="1"/>
  <c r="M20" i="1" a="1"/>
  <c r="M111" i="1"/>
  <c r="M111" i="1" a="1"/>
  <c r="M94" i="1"/>
  <c r="M94" i="1" a="1"/>
  <c r="M99" i="1"/>
  <c r="M99" i="1" a="1"/>
  <c r="M84" i="1"/>
  <c r="M84" i="1" a="1"/>
  <c r="M82" i="1"/>
  <c r="M82" i="1" a="1"/>
  <c r="M105" i="1"/>
  <c r="M105" i="1" a="1"/>
  <c r="M38" i="1"/>
  <c r="M38" i="1" a="1"/>
  <c r="M7" i="1"/>
  <c r="M7" i="1" a="1"/>
  <c r="M34" i="1"/>
  <c r="M34" i="1" a="1"/>
  <c r="M40" i="1"/>
  <c r="M40" i="1" a="1"/>
  <c r="M11" i="1"/>
  <c r="M11" i="1" a="1"/>
  <c r="M4" i="1"/>
  <c r="M4" i="1" a="1"/>
  <c r="M18" i="1"/>
  <c r="M18" i="1" a="1"/>
  <c r="M110" i="1"/>
  <c r="M110" i="1" a="1"/>
  <c r="M101" i="1"/>
  <c r="M101" i="1" a="1"/>
  <c r="M98" i="1"/>
  <c r="M98" i="1" a="1"/>
  <c r="M9" i="1"/>
  <c r="M9" i="1" a="1"/>
  <c r="M83" i="1"/>
  <c r="M83" i="1" a="1"/>
  <c r="M57" i="1"/>
  <c r="M57" i="1" a="1"/>
  <c r="M92" i="1"/>
  <c r="M92" i="1" a="1"/>
  <c r="M29" i="1"/>
  <c r="M29" i="1" a="1"/>
  <c r="M49" i="1"/>
  <c r="M49" i="1" a="1"/>
  <c r="M8" i="1"/>
  <c r="M8" i="1" a="1"/>
  <c r="M79" i="1"/>
  <c r="M79" i="1" a="1"/>
  <c r="M100" i="1"/>
  <c r="M100" i="1" a="1"/>
  <c r="M120" i="1"/>
  <c r="M120" i="1" a="1"/>
  <c r="M45" i="1"/>
  <c r="M45" i="1" a="1"/>
  <c r="M32" i="1"/>
  <c r="M32" i="1" a="1"/>
  <c r="M28" i="1"/>
  <c r="M28" i="1" a="1"/>
  <c r="M43" i="1"/>
  <c r="M43" i="1" a="1"/>
  <c r="M16" i="1"/>
  <c r="M16" i="1" a="1"/>
  <c r="M41" i="1"/>
  <c r="M41" i="1" a="1"/>
  <c r="M118" i="1"/>
  <c r="M118" i="1" a="1"/>
  <c r="M93" i="1"/>
  <c r="M93" i="1" a="1"/>
  <c r="M117" i="1"/>
  <c r="M117" i="1" a="1"/>
  <c r="M47" i="1"/>
  <c r="M47" i="1" a="1"/>
  <c r="M48" i="1"/>
  <c r="M48" i="1" a="1"/>
  <c r="M77" i="1"/>
  <c r="M77" i="1" a="1"/>
  <c r="M97" i="1"/>
  <c r="M97" i="1" a="1"/>
  <c r="M70" i="1"/>
  <c r="M70" i="1" a="1"/>
  <c r="M60" i="1"/>
  <c r="M60" i="1" a="1"/>
  <c r="M63" i="1"/>
  <c r="M63" i="1" a="1"/>
  <c r="M61" i="1"/>
  <c r="M61" i="1" a="1"/>
  <c r="M36" i="1"/>
  <c r="M36" i="1" a="1"/>
  <c r="M96" i="1"/>
  <c r="M96" i="1" a="1"/>
  <c r="M113" i="1"/>
  <c r="M113" i="1" a="1"/>
  <c r="M42" i="1"/>
  <c r="M42" i="1" a="1"/>
  <c r="M14" i="1"/>
  <c r="M14" i="1" a="1"/>
  <c r="M52" i="1"/>
  <c r="M52" i="1" a="1"/>
  <c r="M65" i="1"/>
  <c r="M65" i="1" a="1"/>
  <c r="M87" i="1"/>
  <c r="M87" i="1" a="1"/>
  <c r="M76" i="1"/>
  <c r="M76" i="1" a="1"/>
  <c r="M91" i="1"/>
  <c r="M91" i="1" a="1"/>
  <c r="M89" i="1"/>
  <c r="M89" i="1" a="1"/>
  <c r="M75" i="1"/>
  <c r="M75" i="1" a="1"/>
  <c r="M55" i="1"/>
  <c r="M55" i="1" a="1"/>
  <c r="M59" i="1"/>
  <c r="M59" i="1" a="1"/>
  <c r="M30" i="1"/>
  <c r="M30" i="1" a="1"/>
  <c r="M95" i="1"/>
  <c r="M95" i="1" a="1"/>
  <c r="M104" i="1"/>
  <c r="M104" i="1" a="1"/>
  <c r="M81" i="1"/>
  <c r="M81" i="1" a="1"/>
  <c r="M21" i="1"/>
  <c r="M21" i="1" a="1"/>
  <c r="M50" i="1"/>
  <c r="M50" i="1" a="1"/>
  <c r="M58" i="1"/>
  <c r="M58" i="1" a="1"/>
  <c r="M62" i="1"/>
  <c r="M62" i="1" a="1"/>
  <c r="M6" i="1"/>
  <c r="M6" i="1" a="1"/>
  <c r="M3" i="1"/>
  <c r="M3" i="1" a="1"/>
  <c r="M74" i="1"/>
  <c r="M74" i="1" a="1"/>
  <c r="M27" i="1"/>
  <c r="M27" i="1" a="1"/>
  <c r="M107" i="1"/>
  <c r="M107" i="1" a="1"/>
  <c r="M73" i="1"/>
  <c r="M73" i="1" a="1"/>
  <c r="M33" i="1"/>
  <c r="M33" i="1" a="1"/>
  <c r="M103" i="1"/>
  <c r="M103" i="1" a="1"/>
  <c r="M115" i="1"/>
  <c r="M115" i="1" a="1"/>
  <c r="M53" i="1"/>
  <c r="M53" i="1" a="1"/>
  <c r="M54" i="1"/>
  <c r="M54" i="1" a="1"/>
  <c r="M10" i="1"/>
  <c r="M10" i="1" a="1"/>
  <c r="M26" i="1"/>
  <c r="M26" i="1" a="1"/>
  <c r="M35" i="1"/>
  <c r="M35" i="1" a="1"/>
  <c r="M72" i="1"/>
  <c r="M72" i="1" a="1"/>
  <c r="M85" i="1"/>
  <c r="M85" i="1" a="1"/>
  <c r="M102" i="1"/>
  <c r="M102" i="1" a="1"/>
  <c r="M64" i="1"/>
  <c r="M64" i="1" a="1"/>
  <c r="M17" i="1"/>
  <c r="M17" i="1" a="1"/>
  <c r="M25" i="1"/>
  <c r="M25" i="1" a="1"/>
  <c r="M88" i="1"/>
  <c r="M88" i="1" a="1"/>
  <c r="M23" i="1"/>
  <c r="M23" i="1" a="1"/>
  <c r="M37" i="1"/>
  <c r="M37" i="1" a="1"/>
  <c r="M22" i="1"/>
  <c r="M22" i="1" a="1"/>
  <c r="M71" i="1"/>
  <c r="M71" i="1" a="1"/>
  <c r="M46" i="1"/>
  <c r="M46" i="1" a="1"/>
  <c r="M51" i="1"/>
  <c r="M51" i="1" a="1"/>
  <c r="M106" i="1"/>
  <c r="M106" i="1" a="1"/>
  <c r="M66" i="1"/>
  <c r="M66" i="1" a="1"/>
  <c r="M56" i="1"/>
  <c r="M56" i="1" a="1"/>
  <c r="M24" i="1"/>
  <c r="M24" i="1" a="1"/>
  <c r="M44" i="1"/>
  <c r="M44" i="1" a="1"/>
  <c r="M19" i="1"/>
  <c r="M19" i="1" a="1"/>
  <c r="M67" i="1"/>
  <c r="M67" i="1" a="1"/>
  <c r="M80" i="1"/>
  <c r="M80" i="1" a="1"/>
  <c r="M5" i="1"/>
  <c r="M5" i="1" a="1"/>
</calcChain>
</file>

<file path=xl/sharedStrings.xml><?xml version="1.0" encoding="utf-8"?>
<sst xmlns="http://schemas.openxmlformats.org/spreadsheetml/2006/main" count="686" uniqueCount="324">
  <si>
    <t>$/kg</t>
  </si>
  <si>
    <t>Purchase or Fabrication?</t>
  </si>
  <si>
    <t>Part Name</t>
  </si>
  <si>
    <t># Parts Req</t>
  </si>
  <si>
    <t>Link</t>
  </si>
  <si>
    <t>Price/Pkg</t>
  </si>
  <si>
    <t>Parts/Pkg</t>
  </si>
  <si>
    <t>Pkgs to Order</t>
  </si>
  <si>
    <t>Cost of Parts</t>
  </si>
  <si>
    <t>Notes</t>
  </si>
  <si>
    <t>Electronic?</t>
  </si>
  <si>
    <t>Date Updated</t>
  </si>
  <si>
    <t>P</t>
  </si>
  <si>
    <t>Turning Resistance X Nm</t>
  </si>
  <si>
    <t>https://www.amazon.com/Malida-Connect-Reverse-Osmosis-System/dp/B00YYKB9K2/ref=pd_bxgy_vft_none_img_sccl_1/147-2290966-7422106?pd_rd_w=FvAsa&amp;content-id=amzn1.sym.7f0cf323-50c6-49e3-b3f9-63546bb79c92&amp;pf_rd_p=7f0cf323-50c6-49e3-b3f9-63546bb79c92&amp;pf_rd_r=678W2XE3CCP73JHQ5X2J&amp;pd_rd_wg=TCnbU&amp;pd_rd_r=601c734b-77d9-45b2-90ab-c781acc1d53e&amp;pd_rd_i=B00YYKB9K2&amp;psc=1</t>
  </si>
  <si>
    <t>1/4" OD PEX Pipe</t>
  </si>
  <si>
    <t>https://www.amazon.com/gp/product/B08FCQKH2F/ref=sw_img_1?smid=A240VLH05F6IET&amp;th=1</t>
  </si>
  <si>
    <t>Check Valve</t>
  </si>
  <si>
    <t>https://www.amazon.com/Malida-Connect-Fitting-Reverse-Osmosis/dp/B01M2XEJZA/ref=sr_1_2?content-id=amzn1.sym.9575273b-ecd8-4648-9bf0-15f20c657e0a&amp;keywords=reverse%2Bosmosis%2Bfittings&amp;pd_rd_r=1af7a1bd-e624-4f69-ae57-e1a456d389f2&amp;pd_rd_w=RcPqF&amp;pd_rd_wg=aljBP&amp;pf_rd_p=9575273b-ecd8-4648-9bf0-15f20c657e0a&amp;pf_rd_r=TF7WYWSQ1V7A797EMJ1P&amp;qid=1674251367&amp;sr=8-2&amp;th=1</t>
  </si>
  <si>
    <t>E</t>
  </si>
  <si>
    <t>Servos for Ball Valves</t>
  </si>
  <si>
    <t>Pressure Relief Valve</t>
  </si>
  <si>
    <t>Wash Chamber</t>
  </si>
  <si>
    <t>4" SCH 40 PVC Pipe Clear</t>
  </si>
  <si>
    <t>https://www.amazon.com/gp/product/B07VD4RYXT/ref=ppx_yo_dt_b_search_asin_title?ie=UTF8&amp;th=1</t>
  </si>
  <si>
    <t>1000 kg Load Cell</t>
  </si>
  <si>
    <t>Raspberry Pi 4 Model B</t>
  </si>
  <si>
    <t>https://www.amazon.com/Raspberry-Model-2019-Quad-Bluetooth/dp/B07TC2BK1X/ref=sr_1_3?crid=3HSNZCHUVFUYU&amp;keywords=raspberry+pi+4&amp;qid=1692585223&amp;s=electronics&amp;sprefix=rasp%2Celectronics%2C135&amp;sr=1-3&amp;ufe=app_do%3Aamzn1.fos.006c50ae-5d4c-4777-9bc0-4513d670b6bc</t>
  </si>
  <si>
    <t>Ammeter INA219 I2C Interface Bidirectional DC Current/Power Monitoring Sensor Module</t>
  </si>
  <si>
    <t>https://www.amazon.com/dp/B08R9MGSWV?psc=1&amp;smid=A2Z10KY0342329&amp;ref_=chk_typ_imgToDp</t>
  </si>
  <si>
    <t>3D Printing Fillament (PLA)</t>
  </si>
  <si>
    <t>1/4" Pex Push Elbow 90</t>
  </si>
  <si>
    <t>1/4" Pex Push Tee Fitting</t>
  </si>
  <si>
    <t>1/4" Pex Push Ball Valve</t>
  </si>
  <si>
    <t>https://www.amazon.com/gp/product/B01NBO4Q9F/ref=ewc_pr_img_2?smid=A1BU77VE99X2YG&amp;psc=1</t>
  </si>
  <si>
    <t>1/2" Thrust Bearing</t>
  </si>
  <si>
    <t>1/4" PEX to 1/2" Male NPT</t>
  </si>
  <si>
    <t>1/4" PEX to 1/4" Male NPT</t>
  </si>
  <si>
    <t>https://www.amazon.com/gp/product/B0C9C55H6K/ref=ewc_pr_img_4?smid=A1XIBCJEAGERRU&amp;psc=1</t>
  </si>
  <si>
    <t>1/4" FNPT Coupling</t>
  </si>
  <si>
    <t>AC Phase Power Cable</t>
  </si>
  <si>
    <t>Total Cost</t>
  </si>
  <si>
    <t>1/4" PEX to 1/8" FNPT</t>
  </si>
  <si>
    <t>P/V Transducer, 1/8" NPT</t>
  </si>
  <si>
    <t>AC Power switch with fuze and plug</t>
  </si>
  <si>
    <t>5V, 12V, 24V DC Power Supply</t>
  </si>
  <si>
    <t>ESP32 Dev Board</t>
  </si>
  <si>
    <t>Valve Actuator Ball Valve Mounts</t>
  </si>
  <si>
    <t>NA</t>
  </si>
  <si>
    <t>$</t>
  </si>
  <si>
    <t>Wash Chamber Conduit</t>
  </si>
  <si>
    <t>Access Hatch</t>
  </si>
  <si>
    <t>Wash Piston</t>
  </si>
  <si>
    <t>Reservior Piston</t>
  </si>
  <si>
    <t>Wash Piston Rod</t>
  </si>
  <si>
    <t>Wash Piston Rod Static Seals</t>
  </si>
  <si>
    <t>Wash Piston Dynamic Seals</t>
  </si>
  <si>
    <t>Reservior Piston Dynamic Seals</t>
  </si>
  <si>
    <t>Reservior Piston Rod Dynamic Seals</t>
  </si>
  <si>
    <t>Castle Spacer</t>
  </si>
  <si>
    <t>.875" ID</t>
  </si>
  <si>
    <t>.875 OD</t>
  </si>
  <si>
    <t>https://www.amazon.com/YZM-Connector-fittings-Purifiers-accessories/dp/B01MRWDTZ2</t>
  </si>
  <si>
    <t>3DP</t>
  </si>
  <si>
    <t>System</t>
  </si>
  <si>
    <t>Part of Assmbly</t>
  </si>
  <si>
    <t>ActuatedBallValve</t>
  </si>
  <si>
    <t>WC</t>
  </si>
  <si>
    <t>Access Hatch Plastic Stock</t>
  </si>
  <si>
    <t>Access Hatch Lower O-Ring</t>
  </si>
  <si>
    <t>https://www.amazon.com/gp/product/B07TJ8M238/ref=ppx_yo_dt_b_search_asin_title?ie=UTF8&amp;psc=1</t>
  </si>
  <si>
    <t>Servo Horns</t>
  </si>
  <si>
    <t>https://www.amazon.com/gp/product/B07NQJ1VZ2/ref=ppx_yo_dt_b_search_asin_title?ie=UTF8&amp;th=1</t>
  </si>
  <si>
    <t>Servo Horn Screws</t>
  </si>
  <si>
    <t>https://www.amazon.com/gp/product/B012TE12CY/ref=ppx_yo_dt_b_search_asin_title?ie=UTF8&amp;psc=1</t>
  </si>
  <si>
    <t>Torque of 14 Nm</t>
  </si>
  <si>
    <t>https://www.amazon.com/gp/product/B0CFJ7QNT4/ref=ppx_yo_dt_b_search_asin_title?ie=UTF8&amp;psc=1</t>
  </si>
  <si>
    <t>https://www.amazon.com/dp/B019U87UQ4?psc=1&amp;pd_rd_i=B019U87UQ4&amp;pd_rd_w=uRW9V&amp;content-id=amzn1.sym.dd2c6db7-6626-466d-bf04-9570e69a7df0&amp;pf_rd_p=dd2c6db7-6626-466d-bf04-9570e69a7df0&amp;pf_rd_r=225ETS73H2852Z99D761&amp;pd_rd_wg=3D4rT&amp;pd_rd_r=9b2c3f2b-c2b1-47d8-af44-4ad3f0200e7d&amp;s=hi&amp;sp_csd=d2lkZ2V0TmFtZT1zcF9kZXRhaWxfdGhlbWF0aWM&amp;smid=A3E0SBPIY1LXW8&amp;spLa=ZW5jcnlwdGVkUXVhbGlmaWVyPUEzMU9SOElRWEJFMTY3JmVuY3J5cHRlZElkPUEwMzc4MjQ2M1BUVDIxVllRN0tJTCZlbmNyeXB0ZWRBZElkPUEwNzU5NTkwMTBITUM1WlpPN0xCVCZ3aWRnZXROYW1lPXNwX2RldGFpbF90aGVtYXRpYyZhY3Rpb249Y2xpY2tSZWRpcmVjdCZkb05vdExvZ0NsaWNrPXRydWU=</t>
  </si>
  <si>
    <t>https://www.amazon.com/ESHIONG-Straight-Reverse-Fittings%EF%BC%881-Purifiers%EF%BC%89/dp/B088DDX593?content-id=amzn1.sym.9575273b-ecd8-4648-9bf0-15f20c657e0a&amp;keywords=ro%2Bcheck%2Bvalve&amp;pd_rd_r=1af7a1bd-e624-4f69-ae57-e1a456d389f2&amp;pd_rd_w=RcPqF&amp;pd_rd_wg=aljBP&amp;pf_rd_p=9575273b-ecd8-4648-9bf0-15f20c657e0a&amp;pf_rd_r=TF7WYWSQ1V7A797EMJ1P&amp;qid=1674251369&amp;sr=8-1-spons&amp;spLa=ZW5jcnlwdGVkUXVhbGlmaWVyPUFJU0tQNVM1MDhVM1UmZW5jcnlwdGVkSWQ9QTA5MjIyMjJUVU9IMFBRMVVQM1UmZW5jcnlwdGVkQWRJZD1BMDk5MzUwN1IzRUZTUTIwTVM2UCZ3aWRnZXROYW1lPXNwX2F0ZiZhY3Rpb249Y2xpY2tSZWRpcmVjdCZkb05vdExvZ0NsaWNrPXRydWU&amp;th=1</t>
  </si>
  <si>
    <t>or units of mass or length</t>
  </si>
  <si>
    <t>Pressure Transducer</t>
  </si>
  <si>
    <t>https://www.amazon.com/Female-Connect-Fittings-CEKER-Pneumatic/dp/B07VLLRWY5</t>
  </si>
  <si>
    <t>Detergent Dosing</t>
  </si>
  <si>
    <t>https://www.amazon.com/gp/product/B07V35375X/ref=ppx_yo_dt_b_asin_title_o02_s00?ie=UTF8&amp;th=1</t>
  </si>
  <si>
    <t>Crimped Wire Connectors</t>
  </si>
  <si>
    <t>EC</t>
  </si>
  <si>
    <t>https://www.amazon.com/OSOYOO-Capacitive-Display-Interface-Raspberry/dp/B0B8R1V19B</t>
  </si>
  <si>
    <t>https://www.amazon.com/C2G-03130-Universal-Power-Cord/dp/B0000510ZO</t>
  </si>
  <si>
    <t>https://www.amazon.com/3Dman-Rocker-Switch-Socket-Module/dp/B07RRY5MYZ?th=1</t>
  </si>
  <si>
    <t>https://www.amazon.com/Arcity-Switching-Adjustable-Machine-Cocktail/dp/B07RT54H9V</t>
  </si>
  <si>
    <t>UI/Microcontroller</t>
  </si>
  <si>
    <t>22 AWG Solid Core Wire</t>
  </si>
  <si>
    <t>22 AWG Stranded Wire</t>
  </si>
  <si>
    <t>https://www.amazon.com/gp/product/B07PCMTZHF/ref=ppx_yo_dt_b_asin_title_o02_s00?ie=UTF8&amp;psc=1</t>
  </si>
  <si>
    <t>Raspberry Pi Heat Sink and Fan</t>
  </si>
  <si>
    <t>Touch Screen Display</t>
  </si>
  <si>
    <t>4.3 inch IPS LCD Capacitive Touch Screen, DSI Cable Included,  800×480 DSI</t>
  </si>
  <si>
    <t>https://www.amazon.com/gp/product/B0CLYC9GGB/ref=ppx_yo_dt_b_asin_title_o01_s00?ie=UTF8&amp;th=1</t>
  </si>
  <si>
    <t>1/8 Inch Barb × 1/4 Inch NPT Barb Fitting</t>
  </si>
  <si>
    <t>Zip Ties</t>
  </si>
  <si>
    <t>https://www.amazon.com/gp/product/B08TBM621K/ref=sw_img_1?smid=A31038Z1OTUQXB&amp;psc=1</t>
  </si>
  <si>
    <t>Peristaltic Dosing Pump</t>
  </si>
  <si>
    <t>https://www.amazon.com/gp/product/B08JG653K3/ref=ppx_yo_dt_b_asin_title_o08_s00?ie=UTF8&amp;th=1</t>
  </si>
  <si>
    <t>5/32" Barb Fitting Check Valve</t>
  </si>
  <si>
    <t>https://www.amazon.com/gp/product/B09NKYG5YQ/ref=ppx_yo_dt_b_asin_title_o09_s00?ie=UTF8&amp;psc=1</t>
  </si>
  <si>
    <t>Limit Switches</t>
  </si>
  <si>
    <t xml:space="preserve">Used for Safety System and </t>
  </si>
  <si>
    <t>https://www.amazon.com/gp/product/B07Y5KY2GT/ref=ppx_yo_dt_b_asin_title_o09_s00?ie=UTF8&amp;psc=1</t>
  </si>
  <si>
    <t>1' Polyethylene Round Stock 4" Diameter</t>
  </si>
  <si>
    <t>Used for Lid,,Reservior, and Wash Pistons</t>
  </si>
  <si>
    <t>https://www.amazon.com/gp/product/B07NVWD67L/ref=ppx_yo_dt_b_asin_title_o09_s00?ie=UTF8&amp;psc=1</t>
  </si>
  <si>
    <t>DIN Rail Slotted Aluminum RoHS 8" Inches Long 35mm Wide 7.5mm High</t>
  </si>
  <si>
    <t>https://www.amazon.com/gp/product/B0BM739JRF/ref=ppx_yo_dt_b_asin_title_o05_s00?ie=UTF8&amp;psc=1</t>
  </si>
  <si>
    <t>https://www.amazon.com/gp/product/B08D5ZD528/ref=ppx_yo_dt_b_asin_title_o06_s03?ie=UTF8&amp;th=1</t>
  </si>
  <si>
    <t>https://www.amazon.com/gp/product/B08HWMRKRZ/ref=ppx_yo_dt_b_asin_title_o00_s00?ie=UTF8&amp;psc=1</t>
  </si>
  <si>
    <t>Servo Extension Cord Lead Wire Cable Connectors</t>
  </si>
  <si>
    <t>3D Printed with PLA</t>
  </si>
  <si>
    <t>https://www.amazon.com/gp/product/B00Y9KDDCY/ref=ppx_yo_dt_b_asin_title_o02_s01?ie=UTF8&amp;th=1</t>
  </si>
  <si>
    <t>Optical Rotary Encoder</t>
  </si>
  <si>
    <t>Not Included In Current Design</t>
  </si>
  <si>
    <t>https://www.amazon.com/gp/product/B07SGPX7ZH/ref=ppx_yo_dt_b_asin_title_o09_s00?ie=UTF8&amp;psc=1</t>
  </si>
  <si>
    <t>HX711 Load Cell Amplifier</t>
  </si>
  <si>
    <t>E-Stop</t>
  </si>
  <si>
    <t>https://www.amazon.com/APIELE-Warranty-Momentary-Mushroom-Mouting/dp/B07PKQJZDY?_encoding=UTF8&amp;pd_rd_i=B07PJKL2GW&amp;pd_rd_w=ypYuo&amp;content-id=amzn1.sym.5334573a-029b-477d-a49c-2bbdfe16b2cb&amp;pf_rd_p=5334573a-029b-477d-a49c-2bbdfe16b2cb&amp;pf_rd_r=QD95TBGR51F20SVN625E&amp;pd_rd_wg=K1vol&amp;pd_rd_r=90175681-5e10-4e04-8f10-3ae6b69f23a1&amp;th=1</t>
  </si>
  <si>
    <t>Solder</t>
  </si>
  <si>
    <t>WAGO Connectors</t>
  </si>
  <si>
    <t>https://www.mcmaster.com/9452K407/</t>
  </si>
  <si>
    <t>https://www.mcmaster.com/9505K121/</t>
  </si>
  <si>
    <t>https://www.mcmaster.com/9505K22/</t>
  </si>
  <si>
    <t>DA</t>
  </si>
  <si>
    <t>https://www.amazon.com/gp/product/B0799FKWQ9/ref=ppx_yo_dt_b_search_asin_title?ie=UTF8&amp;th=1</t>
  </si>
  <si>
    <t>Peristaltic Tubing 3mm</t>
  </si>
  <si>
    <t>https://www.amazon.com/gp/product/B07GWJ78FN/ref=ppx_yo_dt_b_search_asin_title?ie=UTF8&amp;psc=1</t>
  </si>
  <si>
    <t>Load Cell Mounting Screws</t>
  </si>
  <si>
    <t>https://www.amazon.com/gp/product/B0BQDMXC4R/ref=ppx_yo_dt_b_asin_title_o02_s00?ie=UTF8&amp;th=1</t>
  </si>
  <si>
    <t>https://www.amazon.com/gp/product/B09TK155BW/ref=ppx_yo_dt_b_asin_title_o05_s01?ie=UTF8&amp;th=1</t>
  </si>
  <si>
    <t>Screw Terminal DIN Rail Mount</t>
  </si>
  <si>
    <t>https://www.amazon.com/gp/product/B07BF87FJ5/ref=ppx_yo_dt_b_asin_title_o05_s00?ie=UTF8&amp;psc=1</t>
  </si>
  <si>
    <t>https://www.amazon.com/gp/product/B07TX6BX47/ref=ppx_yo_dt_b_search_asin_title?ie=UTF8&amp;psc=1</t>
  </si>
  <si>
    <t>https://www.amazon.com/gp/product/B0957T1S9C/ref=ppx_yo_dt_b_search_asin_title?ie=UTF8&amp;psc=1</t>
  </si>
  <si>
    <t>1/4" MNPT to 1/4" Barb Fitting</t>
  </si>
  <si>
    <t>All Blue numbers altered slightly due to qty changes</t>
  </si>
  <si>
    <t>https://www.amazon.com/cart/smart-wagon?newItems=24150dec-9475-4f45-8ed1-eff11e066025,1&amp;ref_=sw_refresh</t>
  </si>
  <si>
    <t>https://www.mcmaster.com/98935A823/</t>
  </si>
  <si>
    <t>ACME Threaded Rod 1/2" - 10 (3 ft)</t>
  </si>
  <si>
    <t>https://www.amazon.com/uxcell-Bearings-Washers-19000rpm-Limiting/dp/B07VXSLNY5</t>
  </si>
  <si>
    <t>1/2" ACME Nut</t>
  </si>
  <si>
    <t>https://www.mcmaster.com/94815A107/</t>
  </si>
  <si>
    <t>https://www.amazon.com/gp/product/B07P5YZKY5/ref=ppx_yo_dt_b_asin_title_o00_s00?ie=UTF8&amp;th=1</t>
  </si>
  <si>
    <t>8mm Shaft Coupling</t>
  </si>
  <si>
    <t>https://www.amazon.com/gp/product/B07VD6QWZL/ref=ppx_yo_dt_b_search_asin_title?ie=UTF8&amp;psc=1</t>
  </si>
  <si>
    <t>https://www.amazon.com/gp/product/B07YDK97WZ/ref=ppx_yo_dt_b_asin_title_o00_s00?ie=UTF8&amp;th=1</t>
  </si>
  <si>
    <t>1/2" Flanged Journal Bearings</t>
  </si>
  <si>
    <t>8mm Flanged Journal Bearings</t>
  </si>
  <si>
    <t>https://www.amazon.com/gp/product/B06XQDXW78/ref=ppx_yo_dt_b_asin_title_o00_s00?ie=UTF8&amp;psc=1</t>
  </si>
  <si>
    <t>BRNG BREAKER</t>
  </si>
  <si>
    <t>https://www.amazon.com/gp/product/B07NPS78VG/ref=ppx_yo_dt_b_asin_title_o00_s01?ie=UTF8&amp;psc=1</t>
  </si>
  <si>
    <t>25 Tooth Sprocket, 1/2" Bore, for #25 Chain</t>
  </si>
  <si>
    <t>https://www.amazon.com/gp/product/B0C7162LBN/ref=ppx_yo_dt_b_asin_title_o01_s00?ie=UTF8&amp;th=1</t>
  </si>
  <si>
    <t>11 Tooth Sprocket, 8mm Bore, for #25 Chain</t>
  </si>
  <si>
    <t>https://www.amazon.com/gp/product/B0CD1RN4ND/ref=sw_img_1?smid=A30WUG2ZDGM0XM&amp;psc=1</t>
  </si>
  <si>
    <t>https://www.amazon.com/gp/product/B0DKX73BXJ/ref=ppx_yo_dt_b_search_asin_title?ie=UTF8&amp;th=1</t>
  </si>
  <si>
    <t>https://www.amazon.com/gp/product/B085D8TB8Z/ref=ewc_pr_img_2?smid=A1THAZDOWP300U&amp;th=1</t>
  </si>
  <si>
    <t>8mm Drive Shaft</t>
  </si>
  <si>
    <t>8 ft estimated needed</t>
  </si>
  <si>
    <t>#25 Chain, 1/4" Pitch</t>
  </si>
  <si>
    <t>https://www.amazon.com/uxcell-Roller-Sprocket-Tensioner-Bearing/dp/B0CCW53KTM?crid=2E66PDK0NTC0W&amp;dib=eyJ2IjoiMSJ9.do8skwgy3bGsm-aPUjcZYYbFAVSX3_U5enZ8E_nMOW8PwSqdBy5hV-0TgclEbYvDmn7ajkbuy5HpdWGJ1I4-PSaJfEjogFfzEB9gRocQglG_4sVgf2SJp2virXLAaojehpYr-DDzH-hsFCOAfJ-e7cy0TdiQ5a3RfNOUG1seIF57bCUZeihZbu7_SRqP-qNJoINzKXHgV5JvjfdsSGyS8RaA0nvC4zWViRJKOdMgS660Za4IlxDZo6DbDBncgp_QvCLXjh72NY77-7lNh0uvrIS5tq5_wqeGbgqAF_Ye8fXR2UFO66RESqXeEo_CnMr3jmlR-t5lxEO6uwpLqG6kJO-eZSV9KwI_94D1zF_lAnM.-0Sd6Wh7rQWeMgJWQFaPAjCcfuDDUBgbKxmxGXr4wK8&amp;dib_tag=se&amp;keywords=%2325%2Bidler%2Bsprocket&amp;qid=1734746231&amp;s=industrial&amp;sprefix=%2B25%2Bidler%2Bsprocke%2Cindustrial%2C97&amp;sr=1-3&amp;th=1</t>
  </si>
  <si>
    <t>#25 Tensioner Bracket</t>
  </si>
  <si>
    <t>#25 Tensioner Sprocket, 6mm Bore</t>
  </si>
  <si>
    <t>Adjustment Screw For Tensioner</t>
  </si>
  <si>
    <t>6mm Shaft</t>
  </si>
  <si>
    <t>https://www.amazon.com/uxcell-200mm-Stainless-Steel-Solid/dp/B082ZNXYMG?crid=3047OUYZ31FFR&amp;dib=eyJ2IjoiMSJ9.sJNluBW1Q3pDw4uTAoxoE6XqgT0jaoiApljY0bLUKK8W1t5JmaRZC85L1bTlzX6_tjcqkQz2fMOCjU28sT7_oC899IAhVOlTWDxEvMFEft-mfkVLJjePADpYdNIys9DXieqZcx3mH1qQdPjE8Hu2yKckP24Kh1LOMsavVkg8h4_vITTc4ouRB1P0-Nyqn9fBekgCZysdrJZl2tTStn149b-g4bltEZJl21I9U_FztystUXFMRB56DjDo2RBb8OPDIvddK0JNfjTVMTk-la9YEs82KTxcVAlgOZIc8jAXp0OBrGRHVAT0rzyxvW6P5vfq_7IAbHryvHot_LIOl91P71II5fdAWxx5SBbZNdyt5pk.0eHb_uiB8CHjik0EmfrwvH9w9Ssroy2lq6Am51WPKWM&amp;dib_tag=se&amp;keywords=6mm%2Bshaft&amp;qid=1734746923&amp;s=industrial&amp;sprefix=6mm%2Bshaf%2Cindustrial%2C115&amp;sr=1-3&amp;th=1</t>
  </si>
  <si>
    <t>8mm</t>
  </si>
  <si>
    <t>1/2"</t>
  </si>
  <si>
    <t>6mm</t>
  </si>
  <si>
    <t>1/2" Shaft Spacer</t>
  </si>
  <si>
    <t>6mm Shaft Spacer</t>
  </si>
  <si>
    <t>-</t>
  </si>
  <si>
    <t>Fab</t>
  </si>
  <si>
    <t>Segment of Pipe Used Instead</t>
  </si>
  <si>
    <t>FOut</t>
  </si>
  <si>
    <t>https://www.amazon.com/gp/product/B082ZMGJ9B/ref=sw_img_1?smid=A1THAZDOWP300U&amp;psc=1</t>
  </si>
  <si>
    <t>https://www.amazon.com/gp/product/B087QBPHC6/ref=sw_img_1?smid=A13YYJYWLZVHOX&amp;psc=1</t>
  </si>
  <si>
    <t>Not Used In Current Design</t>
  </si>
  <si>
    <t>1/4" NPT Tap</t>
  </si>
  <si>
    <t>1/2"x10 ACME Tap</t>
  </si>
  <si>
    <t>https://www.amazon.com/ColumPRO-Coating-Heavy-Duty-Tapping-Stainless/dp/B0CRB7L6GT?crid=34ZN0R55AUPXO&amp;dib=eyJ2IjoiMSJ9.c8TqSS1rn-hghkjPK1adb-ofQirJbPfu4D6xnWoYFqpO97-3fO2ve2eWr_9y8RKBUFWAMt3aaoCNMZ_YlBAjAsu3RUlT1qd0mO2_jSfQcLrexYKJq9PokI8P8cLXw2pxwToisTU7C--kKmGDwrfObrUfo3r12V6T3hfr0LVoal0TL6IO4cP1gxIQZGo3hckuL6XPBzGBkmwHgFNPHUOKBHrhKhioiPEA35P27SI_77M.nBfaruZR_FlrSzLje-cMlOrPVzkWa1TuuwAXmbfG61Y&amp;dib_tag=se&amp;keywords=1%2F4%2BNPT%2BTap&amp;qid=1735309216&amp;sprefix=1%2F4%2Bnpt%2Btap%2Caps%2C134&amp;sr=8-8&amp;th=1</t>
  </si>
  <si>
    <t>https://www.amazon.com/gp/product/B07M8W6WGX/ref=sw_img_1?smid=AD5EGQQBIXBQW&amp;psc=1</t>
  </si>
  <si>
    <t>https://www.amazon.com/C360-Brass-Square-Solid-Stock/dp/B08XWC3WBH?crid=H6PMETHMQFJM&amp;dib=eyJ2IjoiMSJ9.2xbw5Cw1c8eNcyomhaMuUL7cOWE22X9NW3zjsfaNqC9bqnZ7EMp8jbcikpsQxzOq5rSJTP9kYvwXEbOUiDYVuT74yY35YSQypgtEMgPp3114JBFzjICwED6bJ1Os_9FV8svVkYy3E3p6K4KfKQWtIVRmnKZnVMoA0raIOVfasG2FYBNBmQrVe25yoQqqsb-FGlBE_YRd_62L87qYxJJnHR4cPfyj-J0YpkU9f4dtA18.EfWwZqdwZ6rIfHgJkLoKBBnoTtlifiT02PgoLXBFB2A&amp;dib_tag=se&amp;keywords=1%22+brass+square+stock&amp;qid=1736040210&amp;sprefix=1+brass+square+stock%2Caps%2C126&amp;sr=8-5</t>
  </si>
  <si>
    <t>4 to be machined so they can hold a bearing for idlers</t>
  </si>
  <si>
    <t>1/2" ID Slim Bearings for Idlers</t>
  </si>
  <si>
    <t>https://www.amazon.com/gp/product/B0BMW3QD9Z/ref=ewc_pr_img_2?smid=A35BFBRDRD3RNK&amp;th=1</t>
  </si>
  <si>
    <t>To be inserted into Idlers and held in place with detents</t>
  </si>
  <si>
    <t>https://www.amazon.com/gp/product/B07YDD626R/ref=ewc_pr_img_1?smid=A4EE8R8C5DE8H&amp;psc=1</t>
  </si>
  <si>
    <t>8mm to 6mm Flex Coupling for Optical Encoder</t>
  </si>
  <si>
    <t>Sensing</t>
  </si>
  <si>
    <t>Optical Rotary Encoder Bracket</t>
  </si>
  <si>
    <t>Power Supply</t>
  </si>
  <si>
    <t>AC Power not needed for ISS, but powered by home grid need to make 24V DC</t>
  </si>
  <si>
    <t>3.3V 8 Channel Relay</t>
  </si>
  <si>
    <t>https://www.mcmaster.com/9452K209/</t>
  </si>
  <si>
    <t>https://www.mcmaster.com/9452K99/</t>
  </si>
  <si>
    <t>Wash Piston Stay Pin</t>
  </si>
  <si>
    <t>https://www.mcmaster.com/9452K27/</t>
  </si>
  <si>
    <t>https://www.amazon.com/PRECISION-METALS-87143-12-Rod/dp/B0006NAUO2?crid=SKX6NL9SUVA8&amp;dib=eyJ2IjoiMSJ9.82VAWPYycTdWV07oSzG0iqUeFYokU5zAhh8N-nYtTSQb4RQJHr-U_muiJAYV8zmq9VimN7bz5BZACGonH0bWOYj0sRxtOprXnz5pF32hdD9-tNTRz7kHibpvc706euBblAUKD72tIFDva6g__nmdpiRfOP7H9p7vZmeTmg2AUP82DBMyBJf7jyiTpTh7gbuZOSF4pM0-qWpdvP1RetrBH41xuKE2tEtLtXDdabkQwzk.TAUB_QedbEtyMWDc_qyTie1Jpa-5ntZFTmYoHiOeJDI&amp;dib_tag=se&amp;keywords=.375%22%2Brod&amp;qid=1739304574&amp;sprefix=375%2Brod%2Caps%2C162&amp;sr=8-1&amp;th=1</t>
  </si>
  <si>
    <t>.375" Rod, tapped at ends</t>
  </si>
  <si>
    <t>Frame</t>
  </si>
  <si>
    <t>1/4" - 20 All Threaded Rod</t>
  </si>
  <si>
    <t>https://www.amazon.com/Bates-Stainless-Steel-Hardware-Metal/dp/B0CJ9FFH2Y/134-0072472-6555177?pd_rd_w=e47SZ&amp;content-id=amzn1.sym.52395280-70da-442b-acda-fca52ac79a0b&amp;pf_rd_p=52395280-70da-442b-acda-fca52ac79a0b&amp;pf_rd_r=1J12ZA159605VZ87JQJC&amp;pd_rd_wg=typRi&amp;pd_rd_r=eb0c5671-49df-4701-a0c7-37bcdd82384a&amp;pd_rd_i=B0CJ9FFH2Y&amp;th=1</t>
  </si>
  <si>
    <t>1/4" - 20 Nuts</t>
  </si>
  <si>
    <t>1/4" ID Rod Spacer</t>
  </si>
  <si>
    <t>https://www.amazon.com/Yeebyee-Collars-Machinery-Industrial-Silver-1/dp/B0BYJWLKT7?crid=2WK0ZEC48NUPF&amp;dib=eyJ2IjoiMSJ9.fCJr-VhLiZSgWEt8w43axqSGjEY7pYgKYEqvFELVFdvuRg8l1OTxrVBzrBxGuZB7E5QHF_cYgRIYCrK3uM4H7l7wVqMCnvUuFkVGuOKqHEAcULfJEk7ci2FQSxkNu_syIcv9o8phu2mds62aI3B9oy_5wEGROeG_ZAZCO8Ab1ZBP455fr_tweFnwZdP2dyDeDD-ac_RnAz_2oY-u7W4nYBxMrTMZlDhGv4jtvozE8Yk.f6cw7CkASwj5p2FXP0xrxzxvoQ7fh6UY519n9FnwTSc&amp;dib_tag=se&amp;keywords=1%2F2%2Bshaft%2Bcollar&amp;qid=1739308002&amp;sprefix=1%2F2%22%2Bshaft%2Bco%2Caps%2C119&amp;sr=8-4&amp;th=1</t>
  </si>
  <si>
    <t>1/2" Shaft Collar</t>
  </si>
  <si>
    <t>Reservior Piston Shafts</t>
  </si>
  <si>
    <t>https://www.amazon.com/gp/product/B0DM9Q9PYW?smid=AR88GRBHPCMHU&amp;psc=1</t>
  </si>
  <si>
    <t>Reservior Piston Springs</t>
  </si>
  <si>
    <t>Experimentation Needed to see what spring constant is needed</t>
  </si>
  <si>
    <t>https://www.printables.com/model/191154-din-rail-mount/files</t>
  </si>
  <si>
    <t>Conduit Static Seal O-Ring</t>
  </si>
  <si>
    <t>https://www.amazon.com/dp/B08SPBSCHX?ref=ppx_yo2ov_dt_b_fed_asin_title</t>
  </si>
  <si>
    <t>1/4 Inch OD PVC Clear Vinyl Tubing</t>
  </si>
  <si>
    <t>https://www.amazon.com/dp/B08MZMK2JW?ref=ppx_yo2ov_dt_b_fed_asin_title&amp;th=1</t>
  </si>
  <si>
    <t>https://www.amazon.com/dp/B0D1X2YBLJ?ref=ppx_yo2ov_dt_b_fed_asin_title&amp;th=1</t>
  </si>
  <si>
    <t>M5 Mounting Nuts for Load Cell</t>
  </si>
  <si>
    <t>https://www.amazon.com/dp/B0CWG7NSJP?ref=ppx_yo2ov_dt_b_fed_asin_title&amp;th=1</t>
  </si>
  <si>
    <t>https://www.amazon.com/dp/B0CQ9NWZC7?ref=ppx_yo2ov_dt_b_fed_asin_title&amp;th=1</t>
  </si>
  <si>
    <t>N/A</t>
  </si>
  <si>
    <t>Limit Switch Mount</t>
  </si>
  <si>
    <t>https://www.amazon.com/dp/B0D29QD1WB?ref=ppx_yo2ov_dt_b_fed_asin_title&amp;th=1</t>
  </si>
  <si>
    <t>https://www.amazon.com/dp/B0BLHGK43D?ref=ppx_yo2ov_dt_b_fed_asin_title&amp;th=1</t>
  </si>
  <si>
    <t>Screw Terminal Block Connector Kit</t>
  </si>
  <si>
    <t>Screw Terminal Block Connector 8x</t>
  </si>
  <si>
    <t>https://www.amazon.com/dp/B0BLHDTLLH?ref=ppx_yo2ov_dt_b_fed_asin_title&amp;th=1</t>
  </si>
  <si>
    <t>Screw Terminal Block Connector 12x</t>
  </si>
  <si>
    <t>https://www.amazon.com/dp/B07PKKY8BX?ref=ppx_yo2ov_dt_b_fed_asin_title</t>
  </si>
  <si>
    <t>PCB Male Header Pin Strip</t>
  </si>
  <si>
    <t>https://www.amazon.com/dp/B0BP6P37QY?ref=ppx_yo2ov_dt_b_fed_asin_title</t>
  </si>
  <si>
    <t>Standoff Kit</t>
  </si>
  <si>
    <t>https://www.amazon.com/dp/B072Z7Y19F?ref=ppx_yo2ov_dt_b_fed_asin_title</t>
  </si>
  <si>
    <t>Protoboards</t>
  </si>
  <si>
    <t>https://www.amazon.com/dp/B07ZH9GJWP?ref=ppx_yo2ov_dt_b_fed_asin_title</t>
  </si>
  <si>
    <t>Self Tapping Mounting Screws</t>
  </si>
  <si>
    <t>https://www.amazon.com/dp/B0D5LYFRQP?ref=ppx_yo2ov_dt_b_fed_asin_title</t>
  </si>
  <si>
    <t>Arduino Nano</t>
  </si>
  <si>
    <t>https://www.amazon.com/dp/B0BYS6THLF?ref=ppx_yo2ov_dt_b_fed_asin_title</t>
  </si>
  <si>
    <t>ESP32 Breakout Board</t>
  </si>
  <si>
    <t>https://www.amazon.com/dp/B077HTXVR1?ref=ppx_yo2ov_dt_b_fed_asin_title</t>
  </si>
  <si>
    <t>M3-M8 Tap and Handle</t>
  </si>
  <si>
    <t>https://www.amazon.com/dp/B0B2N57KB4?ref=ppx_yo2ov_dt_b_fed_asin_title&amp;th=1</t>
  </si>
  <si>
    <t>Set Screw Set M3-M8</t>
  </si>
  <si>
    <t>F</t>
  </si>
  <si>
    <t>https://www.amazon.com/dp/B07MC8SZQL?ref=ppx_yo2ov_dt_b_fed_asin_title</t>
  </si>
  <si>
    <t>Grease Fittings</t>
  </si>
  <si>
    <t>HSS Tool Steel</t>
  </si>
  <si>
    <t>https://www.amazon.com/dp/B07JB6FLD9?ref=ppx_yo2ov_dt_b_fed_asin_title</t>
  </si>
  <si>
    <t>Amazon.com: Acxico 2 pcs 3.3V 5V 6V 9V 12V 24V Mini AC DC to DC Buck Step Down Adjustable Volt Converter : Electronics</t>
  </si>
  <si>
    <t>Step Down Buck Converter</t>
  </si>
  <si>
    <t>E Hardware</t>
  </si>
  <si>
    <t>Drive Frame Base</t>
  </si>
  <si>
    <t>https://www.amazon.com/dp/B0D11B8727?ref=ppx_yo2ov_dt_b_fed_asin_title&amp;th=1</t>
  </si>
  <si>
    <t>Motor Controller</t>
  </si>
  <si>
    <t>Drive Motor</t>
  </si>
  <si>
    <t>Drive Nut</t>
  </si>
  <si>
    <t>Drive Nut 1" Brass Machine Stock</t>
  </si>
  <si>
    <t>Used for other purposes</t>
  </si>
  <si>
    <t>https://www.amazon.com/dp/B0D39RQD5G?ref=ppx_yo2ov_dt_b_fed_asin_title&amp;th=1</t>
  </si>
  <si>
    <t>24V-3.3V Step Down Buck Converter</t>
  </si>
  <si>
    <t>possible to not be needed</t>
  </si>
  <si>
    <t>https://www.amazon.com/dp/B0C2KMQ3C2?ref=ppx_yo2ov_dt_b_fed_asin_title&amp;th=1</t>
  </si>
  <si>
    <t>Structural Wire Rope</t>
  </si>
  <si>
    <t>Wire Rope Fixtures</t>
  </si>
  <si>
    <t>https://www.amazon.com/dp/B08BFSYNY4?ref=ppx_yo2ov_dt_b_fed_asin_title</t>
  </si>
  <si>
    <t>Shear Frame</t>
  </si>
  <si>
    <t>https://www.amazon.com/dp/B094MQJT3B?ref=ppx_yo2ov_dt_b_fed_asin_title&amp;th=1&amp;psc=1</t>
  </si>
  <si>
    <t>M5 Turnbuckle</t>
  </si>
  <si>
    <t>https://www.amazon.com/dp/B0C1SF53HW?ref=ppx_yo2ov_dt_b_fed_asin_title&amp;th=1</t>
  </si>
  <si>
    <t>M3 Bearing Holding Screws</t>
  </si>
  <si>
    <t>https://www.amazon.com/dp/B079KCWPWQ?ref=ppx_yo2ov_dt_b_fed_asin_title&amp;th=1</t>
  </si>
  <si>
    <t>Reverse Rotation Preventer Diode for Motor</t>
  </si>
  <si>
    <t>Motor Control</t>
  </si>
  <si>
    <t>https://www.amazon.com/dp/B0BKPTQFFC?ref=ppx_yo2ov_dt_b_fed_asin_title&amp;th=1</t>
  </si>
  <si>
    <t>For Motor Control and E-Stop</t>
  </si>
  <si>
    <t>Electrical Mounting</t>
  </si>
  <si>
    <t>Din Rail Mounts</t>
  </si>
  <si>
    <t>Piping</t>
  </si>
  <si>
    <t>Self Tapping Mounting Screws for Din Rails</t>
  </si>
  <si>
    <t>https://www.amazon.com/dp/B0B6FK69N1?ref=ppx_yo2ov_dt_b_fed_asin_title&amp;th=1</t>
  </si>
  <si>
    <t>https://www.amazon.com/dp/B0B18NVT5Z?ref=ppx_yo2ov_dt_b_fed_asin_title</t>
  </si>
  <si>
    <t>Automotive Fuse Assortment</t>
  </si>
  <si>
    <t>https://www.amazon.com/dp/B079GG3MCN?ref=ppx_yo2ov_dt_b_fed_asin_title&amp;th=1</t>
  </si>
  <si>
    <t>Fuse Block Recepticle</t>
  </si>
  <si>
    <t>https://www.amazon.com/dp/B0D923Z3N5?ref=ppx_yo2ov_dt_b_fed_asin_title&amp;th=1</t>
  </si>
  <si>
    <t>Wire Rope Crimping Tool</t>
  </si>
  <si>
    <t>https://www.amazon.com/dp/B00291F0XA?ref=ppx_yo2ov_dt_b_fed_asin_title&amp;th=1</t>
  </si>
  <si>
    <t>24"x36" Aluminum Sheet .020"</t>
  </si>
  <si>
    <t>https://www.amazon.com/dp/B0B4N2FXHF?ref=ppx_yo2ov_dt_b_fed_asin_title</t>
  </si>
  <si>
    <t>M3.5 Chain Link for Wire Rope</t>
  </si>
  <si>
    <t>Frame Plate</t>
  </si>
  <si>
    <t>1/8" .125" Hot Rolled Steel Sheet Plate 12"X 24"</t>
  </si>
  <si>
    <t>A36 Mild Steel, 1/4" x 12" x 24" Hot Rolled Steel</t>
  </si>
  <si>
    <t>https://www.amazon.com/dp/B08JD7JN39?ref_=ppx_hzod_title_dt_b_fed_asin_title_0_1</t>
  </si>
  <si>
    <t>https://www.amazon.com/dp/B0BQC8QDQL?ref=ppx_yo2ov_dt_b_fed_asin_title</t>
  </si>
  <si>
    <t>C</t>
  </si>
  <si>
    <t>Electronic Control</t>
  </si>
  <si>
    <t>Drive Assembly</t>
  </si>
  <si>
    <t>Detergent</t>
  </si>
  <si>
    <t>Missing</t>
  </si>
  <si>
    <t>https://www.amazon.com/dp/B07F7W91LC?ref=ppx_yo2ov_dt_b_fed_asin_title</t>
  </si>
  <si>
    <t>Consumable/General Purpose</t>
  </si>
  <si>
    <t>Part Count Estimate</t>
  </si>
  <si>
    <t>Cost/Part</t>
  </si>
  <si>
    <t>Logic Level Shifter</t>
  </si>
  <si>
    <t>Cost of tools</t>
  </si>
  <si>
    <t>https://www.amazon.com/dp/B0CQ6Y1MRY?ref=ppx_yo2ov_dt_b_fed_asin_title&amp;th=1</t>
  </si>
  <si>
    <t>Mortice Latch (25mm)</t>
  </si>
  <si>
    <t>Smallest off the shelf latch I could find. I feel like a more purpose built construction could be found, but I haven't been able to find anything</t>
  </si>
  <si>
    <t>https://www.mcmaster.com/9573K16/</t>
  </si>
  <si>
    <t>New Springs for Reservoir Piston</t>
  </si>
  <si>
    <t>https://www.amazon.com/gp/product/B0B6SF3PHK?smid=A3E0SBPIY1LXW8&amp;th=1</t>
  </si>
  <si>
    <t>Pressure Regulator Valve</t>
  </si>
  <si>
    <t>https://www.mcmaster.com/91257A553/</t>
  </si>
  <si>
    <t>Bolt</t>
  </si>
  <si>
    <t>https://www.amazon.com/uxcell-Flexible-Ribbon-Player-Laptop/dp/B0FK4X2SN9?crid=3OY9KN6AU44OC&amp;dib=eyJ2IjoiMSJ9.pDIeq1N5WfXHl0mzrhgeqfoJKDIkTzOB1o31nzhTp_tYx8EHN-VyuvRx8AhTx7DIjaKnbREMGtZ0BIZKtCyVi-hJPJj9-WJNZdagGR0mh6268BuIgLzwjoCrLobnztOqP8OQtuO2WQHdTqtNXOkyG5RxJkyRrIolbixr63Q4idTmgOOtF5_44HrkJR72ndTl0UnPQCxNbLOGNYjlb6JNf3gppfSoHfCFVRfa3jFQbBFHU4qb83vzf5iBzbaJsfljjHvz-WMcgrqs2e-f4JyEwc4lk6AU1oQpFJv9nOBtpd4.MRLOfVYSki9YXaE8XGDeFnWLTd5zROfKxm4eLR72c6c&amp;dib_tag=se&amp;keywords=20624%2Bribbon%2Bcable%2B15%2Bpin&amp;qid=1777067661&amp;s=industrial&amp;sprefix=20624%2Bribbon%2Bcable%2B15%2Bpin%2Cindustrial%2C201&amp;sr=1-4&amp;th=1</t>
  </si>
  <si>
    <t>Ribbon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</si>
</sst>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0" borderId="0" xfId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1" fillId="5" borderId="0" xfId="1" applyFill="1"/>
    <xf numFmtId="0" fontId="1" fillId="0" borderId="0" xfId="1" applyFill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tabSelected="1" topLeftCell="A93" zoomScale="65" workbookViewId="0">
      <selection activeCell="E114" sqref="E114:H117"/>
    </sheetView>
  </sheetViews>
  <sheetFormatPr defaultRowHeight="14.4" x14ac:dyDescent="0.55000000000000004"/>
  <cols>
    <col min="5" max="5" width="33.15625" customWidth="1"/>
  </cols>
  <sheetData>
    <row r="1" spans="1:15" x14ac:dyDescent="0.55000000000000004">
      <c r="F1" t="s">
        <v>79</v>
      </c>
      <c r="H1" t="s">
        <v>0</v>
      </c>
    </row>
    <row r="2" spans="1:15" x14ac:dyDescent="0.55000000000000004">
      <c r="A2" t="s">
        <v>1</v>
      </c>
      <c r="B2" t="s">
        <v>10</v>
      </c>
      <c r="C2" t="s">
        <v>64</v>
      </c>
      <c r="D2" t="s">
        <v>65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s="3" t="s">
        <v>11</v>
      </c>
    </row>
    <row r="3" spans="1:15" x14ac:dyDescent="0.55000000000000004">
      <c r="A3" s="5" t="s">
        <v>49</v>
      </c>
      <c r="B3" t="s">
        <v>19</v>
      </c>
      <c r="C3" t="s">
        <v>12</v>
      </c>
      <c r="D3" t="s">
        <v>66</v>
      </c>
      <c r="E3" s="5" t="s">
        <v>20</v>
      </c>
      <c r="F3">
        <v>4</v>
      </c>
      <c r="G3" s="2" t="s">
        <v>72</v>
      </c>
      <c r="H3">
        <v>16.989999999999998</v>
      </c>
      <c r="I3">
        <v>4</v>
      </c>
      <c r="J3" s="1">
        <f t="shared" ref="J3:J20" si="0">ROUNDUP(F3/I3,0)</f>
        <v>1</v>
      </c>
      <c r="K3" s="1">
        <f t="shared" ref="K3:K20" si="1">J3*H3</f>
        <v>16.989999999999998</v>
      </c>
      <c r="L3" t="s">
        <v>75</v>
      </c>
      <c r="M3" s="3">
        <f t="array" aca="1" ref="M3" ca="1">IF(OR(CELL("address")=CELL("address",A3),CELL("address")=CELL("address",B3),CELL("address")=CELL("address",C3),CELL("address")=CELL("address",D3),CELL("address")=CELL("address",E3),CELL("address")=CELL("address",F3),CELL("address")=CELL("address",G3),CELL("address")=CELL("address",H3),CELL("address")=CELL("address",I3)),NOW(),M3)</f>
        <v>46169.901067476851</v>
      </c>
      <c r="O3" s="8"/>
    </row>
    <row r="4" spans="1:15" x14ac:dyDescent="0.55000000000000004">
      <c r="A4" s="5" t="s">
        <v>49</v>
      </c>
      <c r="C4" t="s">
        <v>12</v>
      </c>
      <c r="D4" t="s">
        <v>66</v>
      </c>
      <c r="E4" s="5" t="s">
        <v>71</v>
      </c>
      <c r="F4">
        <v>4</v>
      </c>
      <c r="G4" s="2" t="s">
        <v>70</v>
      </c>
      <c r="H4">
        <v>8.69</v>
      </c>
      <c r="I4">
        <v>2</v>
      </c>
      <c r="J4" s="1">
        <f t="shared" si="0"/>
        <v>2</v>
      </c>
      <c r="K4" s="1">
        <f t="shared" si="1"/>
        <v>17.38</v>
      </c>
      <c r="M4" s="3">
        <f t="array" aca="1" ref="M4" ca="1">IF(OR(CELL("address")=CELL("address",A4),CELL("address")=CELL("address",B4),CELL("address")=CELL("address",C4),CELL("address")=CELL("address",D4),CELL("address")=CELL("address",E4),CELL("address")=CELL("address",F4),CELL("address")=CELL("address",G4),CELL("address")=CELL("address",H4),CELL("address")=CELL("address",I4)),NOW(),M4)</f>
        <v>45632.707033796294</v>
      </c>
    </row>
    <row r="5" spans="1:15" x14ac:dyDescent="0.55000000000000004">
      <c r="A5" s="5" t="s">
        <v>49</v>
      </c>
      <c r="C5" t="s">
        <v>12</v>
      </c>
      <c r="D5" t="s">
        <v>66</v>
      </c>
      <c r="E5" s="5" t="s">
        <v>73</v>
      </c>
      <c r="F5">
        <v>4</v>
      </c>
      <c r="G5" s="2" t="s">
        <v>74</v>
      </c>
      <c r="H5">
        <v>5.99</v>
      </c>
      <c r="I5">
        <v>60</v>
      </c>
      <c r="J5" s="1">
        <f t="shared" si="0"/>
        <v>1</v>
      </c>
      <c r="K5" s="1">
        <f t="shared" si="1"/>
        <v>5.99</v>
      </c>
      <c r="M5" s="3">
        <f t="array" aca="1" ref="M5" ca="1">IF(OR(CELL("address")=CELL("address",A5),CELL("address")=CELL("address",B5),CELL("address")=CELL("address",C5),CELL("address")=CELL("address",D5),CELL("address")=CELL("address",E5),CELL("address")=CELL("address",F5),CELL("address")=CELL("address",G5),CELL("address")=CELL("address",H5),CELL("address")=CELL("address",I5)),NOW(),M5)</f>
        <v>45642.655523842594</v>
      </c>
    </row>
    <row r="6" spans="1:15" x14ac:dyDescent="0.55000000000000004">
      <c r="A6" s="5" t="s">
        <v>49</v>
      </c>
      <c r="C6" t="s">
        <v>12</v>
      </c>
      <c r="D6" t="s">
        <v>66</v>
      </c>
      <c r="E6" s="5" t="s">
        <v>115</v>
      </c>
      <c r="F6">
        <v>4</v>
      </c>
      <c r="G6" s="2" t="s">
        <v>114</v>
      </c>
      <c r="H6">
        <v>12.99</v>
      </c>
      <c r="I6">
        <v>30</v>
      </c>
      <c r="J6" s="1">
        <f t="shared" ref="J6" si="2">ROUNDUP(F6/I6,0)</f>
        <v>1</v>
      </c>
      <c r="K6" s="1">
        <f t="shared" ref="K6" si="3">J6*H6</f>
        <v>12.99</v>
      </c>
      <c r="M6" s="3">
        <f t="array" aca="1" ref="M6" ca="1">IF(OR(CELL("address")=CELL("address",A6),CELL("address")=CELL("address",B6),CELL("address")=CELL("address",C6),CELL("address")=CELL("address",D6),CELL("address")=CELL("address",E6),CELL("address")=CELL("address",F6),CELL("address")=CELL("address",G6),CELL("address")=CELL("address",H6),CELL("address")=CELL("address",I6)),NOW(),M6)</f>
        <v>45642.655523842594</v>
      </c>
    </row>
    <row r="7" spans="1:15" x14ac:dyDescent="0.55000000000000004">
      <c r="A7" s="5" t="s">
        <v>49</v>
      </c>
      <c r="C7" t="s">
        <v>12</v>
      </c>
      <c r="D7" t="s">
        <v>66</v>
      </c>
      <c r="E7" s="5" t="s">
        <v>33</v>
      </c>
      <c r="F7">
        <v>4</v>
      </c>
      <c r="G7" s="2" t="s">
        <v>77</v>
      </c>
      <c r="H7">
        <v>8.85</v>
      </c>
      <c r="I7">
        <v>10</v>
      </c>
      <c r="J7" s="1">
        <f t="shared" si="0"/>
        <v>1</v>
      </c>
      <c r="K7" s="1">
        <f t="shared" si="1"/>
        <v>8.85</v>
      </c>
      <c r="L7" t="s">
        <v>13</v>
      </c>
      <c r="M7" s="3">
        <f t="array" aca="1" ref="M7" ca="1">IF(OR(CELL("address")=CELL("address",A7),CELL("address")=CELL("address",B7),CELL("address")=CELL("address",C7),CELL("address")=CELL("address",D7),CELL("address")=CELL("address",E7),CELL("address")=CELL("address",F7),CELL("address")=CELL("address",G7),CELL("address")=CELL("address",H7),CELL("address")=CELL("address",I7)),NOW(),M7)</f>
        <v>45632.714402083337</v>
      </c>
    </row>
    <row r="8" spans="1:15" x14ac:dyDescent="0.55000000000000004">
      <c r="A8" s="5" t="s">
        <v>63</v>
      </c>
      <c r="C8" t="s">
        <v>12</v>
      </c>
      <c r="D8" t="s">
        <v>66</v>
      </c>
      <c r="E8" s="5" t="s">
        <v>47</v>
      </c>
      <c r="F8">
        <v>4</v>
      </c>
      <c r="G8" t="s">
        <v>48</v>
      </c>
      <c r="H8">
        <v>0</v>
      </c>
      <c r="I8">
        <v>1</v>
      </c>
      <c r="J8" s="1">
        <f t="shared" si="0"/>
        <v>4</v>
      </c>
      <c r="K8" s="1">
        <f t="shared" si="1"/>
        <v>0</v>
      </c>
      <c r="L8" t="s">
        <v>116</v>
      </c>
      <c r="M8" s="3">
        <f t="array" aca="1" ref="M8" ca="1">IF(OR(CELL("address")=CELL("address",A8),CELL("address")=CELL("address",B8),CELL("address")=CELL("address",C8),CELL("address")=CELL("address",D8),CELL("address")=CELL("address",E8),CELL("address")=CELL("address",F8),CELL("address")=CELL("address",G8),CELL("address")=CELL("address",H8),CELL("address")=CELL("address",I8)),NOW(),M8)</f>
        <v>45632.711294791668</v>
      </c>
    </row>
    <row r="9" spans="1:15" x14ac:dyDescent="0.55000000000000004">
      <c r="A9" s="5" t="s">
        <v>49</v>
      </c>
      <c r="B9" t="s">
        <v>19</v>
      </c>
      <c r="C9" t="s">
        <v>12</v>
      </c>
      <c r="D9" t="s">
        <v>80</v>
      </c>
      <c r="E9" s="5" t="s">
        <v>43</v>
      </c>
      <c r="F9">
        <v>2</v>
      </c>
      <c r="G9" s="2" t="s">
        <v>76</v>
      </c>
      <c r="H9">
        <v>22.99</v>
      </c>
      <c r="I9">
        <v>1</v>
      </c>
      <c r="J9" s="1">
        <f t="shared" si="0"/>
        <v>2</v>
      </c>
      <c r="K9" s="1">
        <f t="shared" si="1"/>
        <v>45.98</v>
      </c>
      <c r="M9" s="3">
        <f t="array" aca="1" ref="M9" ca="1">IF(OR(CELL("address")=CELL("address",A9),CELL("address")=CELL("address",B9),CELL("address")=CELL("address",C9),CELL("address")=CELL("address",D9),CELL("address")=CELL("address",E9),CELL("address")=CELL("address",F9),CELL("address")=CELL("address",G9),CELL("address")=CELL("address",H9),CELL("address")=CELL("address",I9)),NOW(),M9)</f>
        <v>45632.720302083333</v>
      </c>
    </row>
    <row r="10" spans="1:15" x14ac:dyDescent="0.55000000000000004">
      <c r="A10" s="5" t="s">
        <v>49</v>
      </c>
      <c r="C10" t="s">
        <v>12</v>
      </c>
      <c r="D10" t="s">
        <v>284</v>
      </c>
      <c r="E10" s="5" t="s">
        <v>32</v>
      </c>
      <c r="F10" s="7">
        <v>2</v>
      </c>
      <c r="G10" s="2" t="s">
        <v>14</v>
      </c>
      <c r="H10">
        <v>6.99</v>
      </c>
      <c r="I10">
        <v>10</v>
      </c>
      <c r="J10" s="1">
        <f t="shared" si="0"/>
        <v>1</v>
      </c>
      <c r="K10" s="1">
        <f t="shared" si="1"/>
        <v>6.99</v>
      </c>
      <c r="L10" t="s">
        <v>141</v>
      </c>
      <c r="M10" s="3">
        <f t="array" aca="1" ref="M10" ca="1">IF(OR(CELL("address")=CELL("address",A10),CELL("address")=CELL("address",B10),CELL("address")=CELL("address",C10),CELL("address")=CELL("address",D10),CELL("address")=CELL("address",E10),CELL("address")=CELL("address",F10),CELL("address")=CELL("address",G10),CELL("address")=CELL("address",H10),CELL("address")=CELL("address",I10)),NOW(),M10)</f>
        <v>45794.977847569447</v>
      </c>
    </row>
    <row r="11" spans="1:15" x14ac:dyDescent="0.55000000000000004">
      <c r="A11" s="5" t="s">
        <v>49</v>
      </c>
      <c r="C11" t="s">
        <v>12</v>
      </c>
      <c r="D11" t="s">
        <v>284</v>
      </c>
      <c r="E11" s="5" t="s">
        <v>15</v>
      </c>
      <c r="F11" s="7">
        <v>1</v>
      </c>
      <c r="G11" s="2" t="s">
        <v>16</v>
      </c>
      <c r="H11">
        <v>9.99</v>
      </c>
      <c r="I11">
        <f>25*12</f>
        <v>300</v>
      </c>
      <c r="J11" s="1">
        <f t="shared" si="0"/>
        <v>1</v>
      </c>
      <c r="K11" s="1">
        <f t="shared" si="1"/>
        <v>9.99</v>
      </c>
      <c r="M11" s="3">
        <f t="array" aca="1" ref="M11" ca="1">IF(OR(CELL("address")=CELL("address",A11),CELL("address")=CELL("address",B11),CELL("address")=CELL("address",C11),CELL("address")=CELL("address",D11),CELL("address")=CELL("address",E11),CELL("address")=CELL("address",F11),CELL("address")=CELL("address",G11),CELL("address")=CELL("address",H11),CELL("address")=CELL("address",I11)),NOW(),M11)</f>
        <v>46268.867931828703</v>
      </c>
    </row>
    <row r="12" spans="1:15" x14ac:dyDescent="0.55000000000000004">
      <c r="A12" s="5" t="s">
        <v>49</v>
      </c>
      <c r="C12" t="s">
        <v>12</v>
      </c>
      <c r="D12" t="s">
        <v>284</v>
      </c>
      <c r="E12" s="5" t="s">
        <v>31</v>
      </c>
      <c r="F12" s="7">
        <v>1</v>
      </c>
      <c r="G12" s="2" t="s">
        <v>34</v>
      </c>
      <c r="H12">
        <v>6.99</v>
      </c>
      <c r="I12">
        <v>10</v>
      </c>
      <c r="J12" s="1">
        <f t="shared" si="0"/>
        <v>1</v>
      </c>
      <c r="K12" s="1">
        <f t="shared" si="1"/>
        <v>6.99</v>
      </c>
      <c r="M12" s="3">
        <f t="array" aca="1" ref="M12" ca="1">IF(OR(CELL("address")=CELL("address",A12),CELL("address")=CELL("address",B12),CELL("address")=CELL("address",C12),CELL("address")=CELL("address",D12),CELL("address")=CELL("address",E12),CELL("address")=CELL("address",F12),CELL("address")=CELL("address",G12),CELL("address")=CELL("address",H12),CELL("address")=CELL("address",I12)),NOW(),M12)</f>
        <v>45643.561000578702</v>
      </c>
    </row>
    <row r="13" spans="1:15" x14ac:dyDescent="0.55000000000000004">
      <c r="A13" s="5" t="s">
        <v>49</v>
      </c>
      <c r="C13" t="s">
        <v>12</v>
      </c>
      <c r="D13" t="s">
        <v>284</v>
      </c>
      <c r="E13" s="5" t="s">
        <v>37</v>
      </c>
      <c r="F13" s="7">
        <v>3</v>
      </c>
      <c r="G13" s="2" t="s">
        <v>62</v>
      </c>
      <c r="H13">
        <v>6.99</v>
      </c>
      <c r="I13">
        <v>5</v>
      </c>
      <c r="J13" s="1">
        <f t="shared" si="0"/>
        <v>1</v>
      </c>
      <c r="K13" s="1">
        <f t="shared" si="1"/>
        <v>6.99</v>
      </c>
      <c r="M13" s="3">
        <f t="array" aca="1" ref="M13" ca="1">IF(OR(CELL("address")=CELL("address",A13),CELL("address")=CELL("address",B13),CELL("address")=CELL("address",C13),CELL("address")=CELL("address",D13),CELL("address")=CELL("address",E13),CELL("address")=CELL("address",F13),CELL("address")=CELL("address",G13),CELL("address")=CELL("address",H13),CELL("address")=CELL("address",I13)),NOW(),M13)</f>
        <v>45694.801739120368</v>
      </c>
    </row>
    <row r="14" spans="1:15" x14ac:dyDescent="0.55000000000000004">
      <c r="A14" s="5" t="s">
        <v>49</v>
      </c>
      <c r="C14" t="s">
        <v>12</v>
      </c>
      <c r="D14" t="s">
        <v>284</v>
      </c>
      <c r="E14" s="5" t="s">
        <v>39</v>
      </c>
      <c r="F14" s="7">
        <v>3</v>
      </c>
      <c r="G14" s="2" t="s">
        <v>38</v>
      </c>
      <c r="H14">
        <v>7.99</v>
      </c>
      <c r="I14">
        <v>5</v>
      </c>
      <c r="J14" s="1">
        <f t="shared" si="0"/>
        <v>1</v>
      </c>
      <c r="K14" s="1">
        <f t="shared" si="1"/>
        <v>7.99</v>
      </c>
      <c r="M14" s="3">
        <f t="array" aca="1" ref="M14" ca="1">IF(OR(CELL("address")=CELL("address",A14),CELL("address")=CELL("address",B14),CELL("address")=CELL("address",C14),CELL("address")=CELL("address",D14),CELL("address")=CELL("address",E14),CELL("address")=CELL("address",F14),CELL("address")=CELL("address",G14),CELL("address")=CELL("address",H14),CELL("address")=CELL("address",I14)),NOW(),M14)</f>
        <v>45632.721292361108</v>
      </c>
    </row>
    <row r="15" spans="1:15" x14ac:dyDescent="0.55000000000000004">
      <c r="A15" s="5" t="s">
        <v>49</v>
      </c>
      <c r="C15" t="s">
        <v>12</v>
      </c>
      <c r="D15" t="s">
        <v>284</v>
      </c>
      <c r="E15" s="5" t="s">
        <v>36</v>
      </c>
      <c r="F15" s="7">
        <v>4</v>
      </c>
      <c r="G15" s="2" t="s">
        <v>18</v>
      </c>
      <c r="H15">
        <v>7.49</v>
      </c>
      <c r="I15">
        <v>10</v>
      </c>
      <c r="J15" s="1">
        <f t="shared" si="0"/>
        <v>1</v>
      </c>
      <c r="K15" s="1">
        <f t="shared" si="1"/>
        <v>7.49</v>
      </c>
      <c r="M15" s="3">
        <f t="array" aca="1" ref="M15" ca="1">IF(OR(CELL("address")=CELL("address",A15),CELL("address")=CELL("address",B15),CELL("address")=CELL("address",C15),CELL("address")=CELL("address",D15),CELL("address")=CELL("address",E15),CELL("address")=CELL("address",F15),CELL("address")=CELL("address",G15),CELL("address")=CELL("address",H15),CELL("address")=CELL("address",I15)),NOW(),M15)</f>
        <v>45794.570570717595</v>
      </c>
    </row>
    <row r="16" spans="1:15" x14ac:dyDescent="0.55000000000000004">
      <c r="A16" s="5" t="s">
        <v>49</v>
      </c>
      <c r="C16" t="s">
        <v>12</v>
      </c>
      <c r="D16" t="s">
        <v>284</v>
      </c>
      <c r="E16" s="5" t="s">
        <v>220</v>
      </c>
      <c r="F16">
        <v>2</v>
      </c>
      <c r="G16" s="10" t="s">
        <v>219</v>
      </c>
      <c r="H16">
        <v>7.79</v>
      </c>
      <c r="I16">
        <v>20</v>
      </c>
      <c r="J16" s="1">
        <f t="shared" si="0"/>
        <v>1</v>
      </c>
      <c r="K16" s="1">
        <f t="shared" si="1"/>
        <v>7.79</v>
      </c>
      <c r="M16" s="3">
        <f t="array" aca="1" ref="M16" ca="1">IF(OR(CELL("address")=CELL("address",A16),CELL("address")=CELL("address",B16),CELL("address")=CELL("address",C16),CELL("address")=CELL("address",D16),CELL("address")=CELL("address",E16),CELL("address")=CELL("address",F16),CELL("address")=CELL("address",G16),CELL("address")=CELL("address",H16),CELL("address")=CELL("address",I16)),NOW(),M16)</f>
        <v>45794.571933912041</v>
      </c>
    </row>
    <row r="17" spans="1:13" x14ac:dyDescent="0.55000000000000004">
      <c r="A17" s="5" t="s">
        <v>49</v>
      </c>
      <c r="C17" t="s">
        <v>12</v>
      </c>
      <c r="D17" t="s">
        <v>284</v>
      </c>
      <c r="E17" s="5" t="s">
        <v>140</v>
      </c>
      <c r="F17" s="7">
        <v>2</v>
      </c>
      <c r="G17" s="10" t="s">
        <v>182</v>
      </c>
      <c r="H17">
        <v>7.99</v>
      </c>
      <c r="I17">
        <v>5</v>
      </c>
      <c r="J17" s="1">
        <f t="shared" si="0"/>
        <v>1</v>
      </c>
      <c r="K17" s="1">
        <f t="shared" si="1"/>
        <v>7.99</v>
      </c>
      <c r="M17" s="3">
        <f t="array" aca="1" ref="M17" ca="1">IF(OR(CELL("address")=CELL("address",A17),CELL("address")=CELL("address",B17),CELL("address")=CELL("address",C17),CELL("address")=CELL("address",D17),CELL("address")=CELL("address",E17),CELL("address")=CELL("address",F17),CELL("address")=CELL("address",G17),CELL("address")=CELL("address",H17),CELL("address")=CELL("address",I17)),NOW(),M17)</f>
        <v>45794.746052199072</v>
      </c>
    </row>
    <row r="18" spans="1:13" x14ac:dyDescent="0.55000000000000004">
      <c r="A18" s="5" t="s">
        <v>49</v>
      </c>
      <c r="C18" t="s">
        <v>12</v>
      </c>
      <c r="D18" t="s">
        <v>284</v>
      </c>
      <c r="E18" s="5" t="s">
        <v>17</v>
      </c>
      <c r="F18" s="7">
        <v>1</v>
      </c>
      <c r="G18" s="2" t="s">
        <v>78</v>
      </c>
      <c r="H18">
        <v>10.99</v>
      </c>
      <c r="I18">
        <v>6</v>
      </c>
      <c r="J18" s="1">
        <f t="shared" si="0"/>
        <v>1</v>
      </c>
      <c r="K18" s="1">
        <f t="shared" si="1"/>
        <v>10.99</v>
      </c>
      <c r="M18" s="3">
        <f t="array" aca="1" ref="M18" ca="1">IF(OR(CELL("address")=CELL("address",A18),CELL("address")=CELL("address",B18),CELL("address")=CELL("address",C18),CELL("address")=CELL("address",D18),CELL("address")=CELL("address",E18),CELL("address")=CELL("address",F18),CELL("address")=CELL("address",G18),CELL("address")=CELL("address",H18),CELL("address")=CELL("address",I18)),NOW(),M18)</f>
        <v>45643.711436689817</v>
      </c>
    </row>
    <row r="19" spans="1:13" x14ac:dyDescent="0.55000000000000004">
      <c r="A19" s="5" t="s">
        <v>49</v>
      </c>
      <c r="C19" t="s">
        <v>12</v>
      </c>
      <c r="D19" t="s">
        <v>284</v>
      </c>
      <c r="E19" s="6" t="s">
        <v>21</v>
      </c>
      <c r="F19">
        <v>0</v>
      </c>
      <c r="G19" t="s">
        <v>48</v>
      </c>
      <c r="H19">
        <v>0</v>
      </c>
      <c r="I19">
        <v>1</v>
      </c>
      <c r="J19" s="1">
        <f t="shared" si="0"/>
        <v>0</v>
      </c>
      <c r="K19" s="1">
        <f t="shared" si="1"/>
        <v>0</v>
      </c>
      <c r="L19" t="s">
        <v>119</v>
      </c>
      <c r="M19" s="3">
        <f t="array" aca="1" ref="M19" ca="1">IF(OR(CELL("address")=CELL("address",A19),CELL("address")=CELL("address",B19),CELL("address")=CELL("address",C19),CELL("address")=CELL("address",D19),CELL("address")=CELL("address",E19),CELL("address")=CELL("address",F19),CELL("address")=CELL("address",G19),CELL("address")=CELL("address",H19),CELL("address")=CELL("address",I19)),NOW(),M19)</f>
        <v>46169.969078703703</v>
      </c>
    </row>
    <row r="20" spans="1:13" x14ac:dyDescent="0.55000000000000004">
      <c r="A20" s="5" t="s">
        <v>49</v>
      </c>
      <c r="C20" t="s">
        <v>12</v>
      </c>
      <c r="D20" t="s">
        <v>80</v>
      </c>
      <c r="E20" s="5" t="s">
        <v>42</v>
      </c>
      <c r="F20">
        <v>2</v>
      </c>
      <c r="G20" s="2" t="s">
        <v>81</v>
      </c>
      <c r="H20">
        <v>9.99</v>
      </c>
      <c r="I20">
        <v>5</v>
      </c>
      <c r="J20" s="1">
        <f t="shared" si="0"/>
        <v>1</v>
      </c>
      <c r="K20" s="1">
        <f t="shared" si="1"/>
        <v>9.99</v>
      </c>
      <c r="M20" s="3">
        <f t="array" aca="1" ref="M20" ca="1">IF(OR(CELL("address")=CELL("address",A20),CELL("address")=CELL("address",B20),CELL("address")=CELL("address",C20),CELL("address")=CELL("address",D20),CELL("address")=CELL("address",E20),CELL("address")=CELL("address",F20),CELL("address")=CELL("address",G20),CELL("address")=CELL("address",H20),CELL("address")=CELL("address",I20)),NOW(),M20)</f>
        <v>45642.535365509262</v>
      </c>
    </row>
    <row r="21" spans="1:13" x14ac:dyDescent="0.55000000000000004">
      <c r="A21" s="5" t="s">
        <v>49</v>
      </c>
      <c r="B21" t="s">
        <v>19</v>
      </c>
      <c r="C21" t="s">
        <v>12</v>
      </c>
      <c r="D21" t="s">
        <v>82</v>
      </c>
      <c r="E21" s="5" t="s">
        <v>101</v>
      </c>
      <c r="F21">
        <v>1</v>
      </c>
      <c r="G21" s="2" t="s">
        <v>132</v>
      </c>
      <c r="H21">
        <v>9.89</v>
      </c>
      <c r="I21">
        <v>1</v>
      </c>
      <c r="J21" s="1">
        <f t="shared" ref="J21:J23" si="4">ROUNDUP(F21/I21,0)</f>
        <v>1</v>
      </c>
      <c r="K21" s="1">
        <f t="shared" ref="K21:K23" si="5">J21*H21</f>
        <v>9.89</v>
      </c>
      <c r="M21" s="3">
        <f t="array" aca="1" ref="M21" ca="1">IF(OR(CELL("address")=CELL("address",A21),CELL("address")=CELL("address",B21),CELL("address")=CELL("address",C21),CELL("address")=CELL("address",D21),CELL("address")=CELL("address",E21),CELL("address")=CELL("address",F21),CELL("address")=CELL("address",G21),CELL("address")=CELL("address",H21),CELL("address")=CELL("address",I21)),NOW(),M21)</f>
        <v>45643.562765972223</v>
      </c>
    </row>
    <row r="22" spans="1:13" x14ac:dyDescent="0.55000000000000004">
      <c r="A22" s="5" t="s">
        <v>49</v>
      </c>
      <c r="C22" t="s">
        <v>12</v>
      </c>
      <c r="D22" t="s">
        <v>82</v>
      </c>
      <c r="E22" s="5" t="s">
        <v>98</v>
      </c>
      <c r="F22">
        <v>1</v>
      </c>
      <c r="G22" s="2" t="s">
        <v>97</v>
      </c>
      <c r="H22">
        <v>8.99</v>
      </c>
      <c r="I22">
        <v>6</v>
      </c>
      <c r="J22" s="1">
        <f t="shared" si="4"/>
        <v>1</v>
      </c>
      <c r="K22" s="1">
        <f t="shared" si="5"/>
        <v>8.99</v>
      </c>
      <c r="M22" s="3">
        <f t="array" aca="1" ref="M22" ca="1">IF(OR(CELL("address")=CELL("address",A22),CELL("address")=CELL("address",B22),CELL("address")=CELL("address",C22),CELL("address")=CELL("address",D22),CELL("address")=CELL("address",E22),CELL("address")=CELL("address",F22),CELL("address")=CELL("address",G22),CELL("address")=CELL("address",H22),CELL("address")=CELL("address",I22)),NOW(),M22)</f>
        <v>45643.711616666667</v>
      </c>
    </row>
    <row r="23" spans="1:13" x14ac:dyDescent="0.55000000000000004">
      <c r="A23" s="5" t="s">
        <v>49</v>
      </c>
      <c r="C23" t="s">
        <v>12</v>
      </c>
      <c r="D23" t="s">
        <v>82</v>
      </c>
      <c r="E23" s="5" t="s">
        <v>131</v>
      </c>
      <c r="F23">
        <v>1</v>
      </c>
      <c r="G23" s="2" t="s">
        <v>130</v>
      </c>
      <c r="H23">
        <v>13.99</v>
      </c>
      <c r="I23">
        <v>3</v>
      </c>
      <c r="J23" s="1">
        <f t="shared" si="4"/>
        <v>1</v>
      </c>
      <c r="K23" s="1">
        <f t="shared" si="5"/>
        <v>13.99</v>
      </c>
      <c r="M23" s="3">
        <f t="array" aca="1" ref="M23" ca="1">IF(OR(CELL("address")=CELL("address",A23),CELL("address")=CELL("address",B23),CELL("address")=CELL("address",C23),CELL("address")=CELL("address",D23),CELL("address")=CELL("address",E23),CELL("address")=CELL("address",F23),CELL("address")=CELL("address",G23),CELL("address")=CELL("address",H23),CELL("address")=CELL("address",I23)),NOW(),M23)</f>
        <v>45642.648433912036</v>
      </c>
    </row>
    <row r="24" spans="1:13" x14ac:dyDescent="0.55000000000000004">
      <c r="A24" s="5" t="s">
        <v>49</v>
      </c>
      <c r="B24" t="s">
        <v>19</v>
      </c>
      <c r="C24" t="s">
        <v>12</v>
      </c>
      <c r="D24" t="s">
        <v>82</v>
      </c>
      <c r="E24" s="5" t="s">
        <v>103</v>
      </c>
      <c r="F24">
        <v>2</v>
      </c>
      <c r="G24" s="2" t="s">
        <v>102</v>
      </c>
      <c r="H24">
        <v>8.99</v>
      </c>
      <c r="I24">
        <v>5</v>
      </c>
      <c r="J24" s="1">
        <f t="shared" ref="J24" si="6">ROUNDUP(F24/I24,0)</f>
        <v>1</v>
      </c>
      <c r="K24" s="1">
        <f t="shared" ref="K24" si="7">J24*H24</f>
        <v>8.99</v>
      </c>
      <c r="M24" s="3">
        <f t="array" aca="1" ref="M24" ca="1">IF(OR(CELL("address")=CELL("address",A24),CELL("address")=CELL("address",B24),CELL("address")=CELL("address",C24),CELL("address")=CELL("address",D24),CELL("address")=CELL("address",E24),CELL("address")=CELL("address",F24),CELL("address")=CELL("address",G24),CELL("address")=CELL("address",H24),CELL("address")=CELL("address",I24)),NOW(),M24)</f>
        <v>45642.647163541667</v>
      </c>
    </row>
    <row r="25" spans="1:13" x14ac:dyDescent="0.55000000000000004">
      <c r="A25" s="5" t="s">
        <v>49</v>
      </c>
      <c r="C25" t="s">
        <v>67</v>
      </c>
      <c r="D25" t="s">
        <v>22</v>
      </c>
      <c r="E25" s="5" t="s">
        <v>23</v>
      </c>
      <c r="F25">
        <v>1</v>
      </c>
      <c r="G25" s="2" t="s">
        <v>24</v>
      </c>
      <c r="H25">
        <v>38.6</v>
      </c>
      <c r="I25">
        <v>1</v>
      </c>
      <c r="J25" s="1">
        <f t="shared" ref="J25:J26" si="8">ROUNDUP(F25/I25,0)</f>
        <v>1</v>
      </c>
      <c r="K25" s="1">
        <f t="shared" ref="K25:K26" si="9">J25*H25</f>
        <v>38.6</v>
      </c>
      <c r="M25" s="3">
        <f t="array" aca="1" ref="M25" ca="1">IF(OR(CELL("address")=CELL("address",A25),CELL("address")=CELL("address",B25),CELL("address")=CELL("address",C25),CELL("address")=CELL("address",D25),CELL("address")=CELL("address",E25),CELL("address")=CELL("address",F25),CELL("address")=CELL("address",G25),CELL("address")=CELL("address",H25),CELL("address")=CELL("address",I25)),NOW(),M25)</f>
        <v>45643.882129398145</v>
      </c>
    </row>
    <row r="26" spans="1:13" x14ac:dyDescent="0.55000000000000004">
      <c r="A26" s="5" t="s">
        <v>49</v>
      </c>
      <c r="C26" t="s">
        <v>67</v>
      </c>
      <c r="D26" t="s">
        <v>22</v>
      </c>
      <c r="E26" s="5" t="s">
        <v>50</v>
      </c>
      <c r="F26">
        <v>1</v>
      </c>
      <c r="G26" s="2" t="s">
        <v>142</v>
      </c>
      <c r="H26">
        <v>67.989999999999995</v>
      </c>
      <c r="I26">
        <v>1</v>
      </c>
      <c r="J26" s="1">
        <f t="shared" si="8"/>
        <v>1</v>
      </c>
      <c r="K26" s="1">
        <f t="shared" si="9"/>
        <v>67.989999999999995</v>
      </c>
      <c r="M26" s="3">
        <f t="array" aca="1" ref="M26" ca="1">IF(OR(CELL("address")=CELL("address",A26),CELL("address")=CELL("address",B26),CELL("address")=CELL("address",C26),CELL("address")=CELL("address",D26),CELL("address")=CELL("address",E26),CELL("address")=CELL("address",F26),CELL("address")=CELL("address",G26),CELL("address")=CELL("address",H26),CELL("address")=CELL("address",I26)),NOW(),M26)</f>
        <v>45684.7621349537</v>
      </c>
    </row>
    <row r="27" spans="1:13" x14ac:dyDescent="0.55000000000000004">
      <c r="A27" s="5" t="s">
        <v>49</v>
      </c>
      <c r="C27" t="s">
        <v>67</v>
      </c>
      <c r="D27" t="s">
        <v>22</v>
      </c>
      <c r="E27" s="5" t="s">
        <v>59</v>
      </c>
      <c r="F27">
        <v>1</v>
      </c>
      <c r="G27" t="s">
        <v>48</v>
      </c>
      <c r="H27">
        <v>0</v>
      </c>
      <c r="I27">
        <v>1</v>
      </c>
      <c r="J27" s="1">
        <f t="shared" ref="J27:J40" si="10">ROUNDUP(F27/I27,0)</f>
        <v>1</v>
      </c>
      <c r="K27" s="1">
        <f t="shared" ref="K27:K40" si="11">J27*H27</f>
        <v>0</v>
      </c>
      <c r="L27" t="s">
        <v>179</v>
      </c>
      <c r="M27" s="3">
        <f t="array" aca="1" ref="M27" ca="1">IF(OR(CELL("address")=CELL("address",A27),CELL("address")=CELL("address",B27),CELL("address")=CELL("address",C27),CELL("address")=CELL("address",D27),CELL("address")=CELL("address",E27),CELL("address")=CELL("address",F27),CELL("address")=CELL("address",G27),CELL("address")=CELL("address",H27),CELL("address")=CELL("address",I27)),NOW(),M27)</f>
        <v>45646.886742939816</v>
      </c>
    </row>
    <row r="28" spans="1:13" x14ac:dyDescent="0.55000000000000004">
      <c r="A28" s="5" t="s">
        <v>49</v>
      </c>
      <c r="C28" t="s">
        <v>67</v>
      </c>
      <c r="D28" t="s">
        <v>22</v>
      </c>
      <c r="E28" s="5" t="s">
        <v>218</v>
      </c>
      <c r="F28">
        <v>2</v>
      </c>
      <c r="G28" s="2" t="s">
        <v>126</v>
      </c>
      <c r="H28">
        <v>7.69</v>
      </c>
      <c r="I28">
        <v>4</v>
      </c>
      <c r="J28" s="1">
        <f t="shared" si="10"/>
        <v>1</v>
      </c>
      <c r="K28" s="1">
        <f t="shared" si="11"/>
        <v>7.69</v>
      </c>
      <c r="M28" s="3">
        <f t="array" aca="1" ref="M28" ca="1">IF(OR(CELL("address")=CELL("address",A28),CELL("address")=CELL("address",B28),CELL("address")=CELL("address",C28),CELL("address")=CELL("address",D28),CELL("address")=CELL("address",E28),CELL("address")=CELL("address",F28),CELL("address")=CELL("address",G28),CELL("address")=CELL("address",H28),CELL("address")=CELL("address",I28)),NOW(),M28)</f>
        <v>45746.871895486111</v>
      </c>
    </row>
    <row r="29" spans="1:13" x14ac:dyDescent="0.55000000000000004">
      <c r="A29" s="5" t="s">
        <v>49</v>
      </c>
      <c r="C29" t="s">
        <v>67</v>
      </c>
      <c r="D29" t="s">
        <v>51</v>
      </c>
      <c r="E29" s="5" t="s">
        <v>68</v>
      </c>
      <c r="F29">
        <v>1</v>
      </c>
      <c r="G29" t="s">
        <v>177</v>
      </c>
      <c r="H29">
        <v>0</v>
      </c>
      <c r="I29">
        <v>1</v>
      </c>
      <c r="J29" s="1">
        <f t="shared" si="10"/>
        <v>1</v>
      </c>
      <c r="K29" s="1">
        <f t="shared" si="11"/>
        <v>0</v>
      </c>
      <c r="M29" s="3">
        <f t="array" aca="1" ref="M29" ca="1">IF(OR(CELL("address")=CELL("address",A29),CELL("address")=CELL("address",B29),CELL("address")=CELL("address",C29),CELL("address")=CELL("address",D29),CELL("address")=CELL("address",E29),CELL("address")=CELL("address",F29),CELL("address")=CELL("address",G29),CELL("address")=CELL("address",H29),CELL("address")=CELL("address",I29)),NOW(),M29)</f>
        <v>45646.890947222222</v>
      </c>
    </row>
    <row r="30" spans="1:13" x14ac:dyDescent="0.55000000000000004">
      <c r="A30" s="6" t="s">
        <v>49</v>
      </c>
      <c r="B30" s="6"/>
      <c r="C30" s="6" t="s">
        <v>67</v>
      </c>
      <c r="D30" s="6" t="s">
        <v>51</v>
      </c>
      <c r="E30" s="6" t="s">
        <v>69</v>
      </c>
      <c r="F30" s="6">
        <v>1</v>
      </c>
      <c r="G30" s="9" t="s">
        <v>200</v>
      </c>
      <c r="H30" s="6">
        <v>10.58</v>
      </c>
      <c r="I30" s="6">
        <v>10</v>
      </c>
      <c r="J30" s="1">
        <f t="shared" ref="J30" si="12">ROUNDUP(F30/I30,0)</f>
        <v>1</v>
      </c>
      <c r="K30" s="1">
        <f t="shared" ref="K30" si="13">J30*H30</f>
        <v>10.58</v>
      </c>
      <c r="M30" s="3">
        <f t="array" aca="1" ref="M30" ca="1">IF(OR(CELL("address")=CELL("address",A30),CELL("address")=CELL("address",B30),CELL("address")=CELL("address",C30),CELL("address")=CELL("address",D30),CELL("address")=CELL("address",E30),CELL("address")=CELL("address",F30),CELL("address")=CELL("address",G30),CELL("address")=CELL("address",H30),CELL("address")=CELL("address",I30)),NOW(),M30)</f>
        <v>45794.746517013889</v>
      </c>
    </row>
    <row r="31" spans="1:13" x14ac:dyDescent="0.55000000000000004">
      <c r="A31" s="6" t="s">
        <v>49</v>
      </c>
      <c r="B31" s="6"/>
      <c r="C31" s="6" t="s">
        <v>67</v>
      </c>
      <c r="D31" s="6" t="s">
        <v>51</v>
      </c>
      <c r="E31" s="6" t="s">
        <v>69</v>
      </c>
      <c r="F31" s="6">
        <v>1</v>
      </c>
      <c r="G31" s="9" t="s">
        <v>201</v>
      </c>
      <c r="H31" s="6">
        <v>23.53</v>
      </c>
      <c r="I31" s="6">
        <v>10</v>
      </c>
      <c r="J31" s="1">
        <f t="shared" ref="J31" si="14">ROUNDUP(F31/I31,0)</f>
        <v>1</v>
      </c>
      <c r="K31" s="1">
        <f t="shared" ref="K31" si="15">J31*H31</f>
        <v>23.53</v>
      </c>
      <c r="M31" s="3">
        <f t="array" aca="1" ref="M31" ca="1">IF(OR(CELL("address")=CELL("address",A31),CELL("address")=CELL("address",B31),CELL("address")=CELL("address",C31),CELL("address")=CELL("address",D31),CELL("address")=CELL("address",E31),CELL("address")=CELL("address",F31),CELL("address")=CELL("address",G31),CELL("address")=CELL("address",H31),CELL("address")=CELL("address",I31)),NOW(),M31)</f>
        <v>45696.724602314818</v>
      </c>
    </row>
    <row r="32" spans="1:13" x14ac:dyDescent="0.55000000000000004">
      <c r="A32" s="5" t="s">
        <v>49</v>
      </c>
      <c r="C32" t="s">
        <v>67</v>
      </c>
      <c r="D32" t="s">
        <v>51</v>
      </c>
      <c r="E32" s="5" t="s">
        <v>314</v>
      </c>
      <c r="F32">
        <v>1</v>
      </c>
      <c r="G32" s="10" t="s">
        <v>313</v>
      </c>
      <c r="H32">
        <v>8.7899999999999991</v>
      </c>
      <c r="I32">
        <v>1</v>
      </c>
      <c r="J32" s="1">
        <f t="shared" si="10"/>
        <v>1</v>
      </c>
      <c r="K32" s="1">
        <f t="shared" si="11"/>
        <v>8.7899999999999991</v>
      </c>
      <c r="L32" t="s">
        <v>315</v>
      </c>
      <c r="M32" s="3">
        <f t="array" aca="1" ref="M32" ca="1">IF(OR(CELL("address")=CELL("address",A32),CELL("address")=CELL("address",B32),CELL("address")=CELL("address",C32),CELL("address")=CELL("address",D32),CELL("address")=CELL("address",E32),CELL("address")=CELL("address",F32),CELL("address")=CELL("address",G32),CELL("address")=CELL("address",H32),CELL("address")=CELL("address",I32)),NOW(),M32)</f>
        <v>45809.893460300926</v>
      </c>
    </row>
    <row r="33" spans="1:13" x14ac:dyDescent="0.55000000000000004">
      <c r="A33" s="5" t="s">
        <v>49</v>
      </c>
      <c r="C33" t="s">
        <v>67</v>
      </c>
      <c r="D33" t="s">
        <v>52</v>
      </c>
      <c r="E33" s="5" t="s">
        <v>108</v>
      </c>
      <c r="F33">
        <v>1</v>
      </c>
      <c r="G33" s="2" t="s">
        <v>107</v>
      </c>
      <c r="H33">
        <v>70.98</v>
      </c>
      <c r="I33">
        <v>1</v>
      </c>
      <c r="J33" s="1">
        <f t="shared" si="10"/>
        <v>1</v>
      </c>
      <c r="K33" s="1">
        <f t="shared" si="11"/>
        <v>70.98</v>
      </c>
      <c r="L33" t="s">
        <v>109</v>
      </c>
      <c r="M33" s="3">
        <f t="array" aca="1" ref="M33" ca="1">IF(OR(CELL("address")=CELL("address",A33),CELL("address")=CELL("address",B33),CELL("address")=CELL("address",C33),CELL("address")=CELL("address",D33),CELL("address")=CELL("address",E33),CELL("address")=CELL("address",F33),CELL("address")=CELL("address",G33),CELL("address")=CELL("address",H33),CELL("address")=CELL("address",I33)),NOW(),M33)</f>
        <v>45794.948679976849</v>
      </c>
    </row>
    <row r="34" spans="1:13" x14ac:dyDescent="0.55000000000000004">
      <c r="A34" s="5" t="s">
        <v>49</v>
      </c>
      <c r="C34" t="s">
        <v>67</v>
      </c>
      <c r="D34" t="s">
        <v>52</v>
      </c>
      <c r="E34" s="5" t="s">
        <v>56</v>
      </c>
      <c r="F34">
        <v>2</v>
      </c>
      <c r="G34" s="2" t="s">
        <v>127</v>
      </c>
      <c r="H34">
        <v>13.76</v>
      </c>
      <c r="I34">
        <v>1</v>
      </c>
      <c r="J34" s="1">
        <f t="shared" si="10"/>
        <v>2</v>
      </c>
      <c r="K34" s="1">
        <f t="shared" si="11"/>
        <v>27.52</v>
      </c>
      <c r="M34" s="3">
        <f t="array" aca="1" ref="M34" ca="1">IF(OR(CELL("address")=CELL("address",A34),CELL("address")=CELL("address",B34),CELL("address")=CELL("address",C34),CELL("address")=CELL("address",D34),CELL("address")=CELL("address",E34),CELL("address")=CELL("address",F34),CELL("address")=CELL("address",G34),CELL("address")=CELL("address",H34),CELL("address")=CELL("address",I34)),NOW(),M34)</f>
        <v>45794.94740902778</v>
      </c>
    </row>
    <row r="35" spans="1:13" x14ac:dyDescent="0.55000000000000004">
      <c r="A35" s="5" t="s">
        <v>49</v>
      </c>
      <c r="C35" t="s">
        <v>67</v>
      </c>
      <c r="D35" t="s">
        <v>52</v>
      </c>
      <c r="E35" s="5" t="s">
        <v>54</v>
      </c>
      <c r="F35">
        <v>11.6</v>
      </c>
      <c r="G35" s="10" t="s">
        <v>286</v>
      </c>
      <c r="H35">
        <v>27.5</v>
      </c>
      <c r="I35">
        <v>12</v>
      </c>
      <c r="J35" s="1">
        <f t="shared" si="10"/>
        <v>1</v>
      </c>
      <c r="K35" s="1">
        <f t="shared" si="11"/>
        <v>27.5</v>
      </c>
      <c r="L35">
        <v>0.875</v>
      </c>
      <c r="M35" s="3">
        <f t="array" aca="1" ref="M35" ca="1">IF(OR(CELL("address")=CELL("address",A35),CELL("address")=CELL("address",B35),CELL("address")=CELL("address",C35),CELL("address")=CELL("address",D35),CELL("address")=CELL("address",E35),CELL("address")=CELL("address",F35),CELL("address")=CELL("address",G35),CELL("address")=CELL("address",H35),CELL("address")=CELL("address",I35)),NOW(),M35)</f>
        <v>45794.991633564816</v>
      </c>
    </row>
    <row r="36" spans="1:13" x14ac:dyDescent="0.55000000000000004">
      <c r="A36" s="5" t="s">
        <v>49</v>
      </c>
      <c r="C36" t="s">
        <v>67</v>
      </c>
      <c r="D36" t="s">
        <v>52</v>
      </c>
      <c r="E36" s="5" t="s">
        <v>202</v>
      </c>
      <c r="F36">
        <v>4</v>
      </c>
      <c r="G36" s="10" t="s">
        <v>204</v>
      </c>
      <c r="H36">
        <v>5.99</v>
      </c>
      <c r="I36">
        <v>12</v>
      </c>
      <c r="J36" s="1">
        <f t="shared" si="10"/>
        <v>1</v>
      </c>
      <c r="K36" s="1">
        <f t="shared" si="11"/>
        <v>5.99</v>
      </c>
      <c r="L36" t="s">
        <v>205</v>
      </c>
      <c r="M36" s="3">
        <f t="array" aca="1" ref="M36" ca="1">IF(OR(CELL("address")=CELL("address",A36),CELL("address")=CELL("address",B36),CELL("address")=CELL("address",C36),CELL("address")=CELL("address",D36),CELL("address")=CELL("address",E36),CELL("address")=CELL("address",F36),CELL("address")=CELL("address",G36),CELL("address")=CELL("address",H36),CELL("address")=CELL("address",I36)),NOW(),M36)</f>
        <v>45699.639482407409</v>
      </c>
    </row>
    <row r="37" spans="1:13" x14ac:dyDescent="0.55000000000000004">
      <c r="A37" s="5" t="s">
        <v>49</v>
      </c>
      <c r="C37" t="s">
        <v>67</v>
      </c>
      <c r="D37" t="s">
        <v>52</v>
      </c>
      <c r="E37" s="5" t="s">
        <v>55</v>
      </c>
      <c r="F37">
        <v>2</v>
      </c>
      <c r="G37" s="10" t="s">
        <v>203</v>
      </c>
      <c r="H37">
        <v>5.98</v>
      </c>
      <c r="I37">
        <v>100</v>
      </c>
      <c r="J37" s="1">
        <f t="shared" si="10"/>
        <v>1</v>
      </c>
      <c r="K37" s="1">
        <f t="shared" si="11"/>
        <v>5.98</v>
      </c>
      <c r="L37" t="s">
        <v>61</v>
      </c>
      <c r="M37" s="3">
        <f t="array" aca="1" ref="M37" ca="1">IF(OR(CELL("address")=CELL("address",A37),CELL("address")=CELL("address",B37),CELL("address")=CELL("address",C37),CELL("address")=CELL("address",D37),CELL("address")=CELL("address",E37),CELL("address")=CELL("address",F37),CELL("address")=CELL("address",G37),CELL("address")=CELL("address",H37),CELL("address")=CELL("address",I37)),NOW(),M37)</f>
        <v>45794.992589236113</v>
      </c>
    </row>
    <row r="38" spans="1:13" x14ac:dyDescent="0.55000000000000004">
      <c r="A38" s="5" t="s">
        <v>49</v>
      </c>
      <c r="C38" t="s">
        <v>67</v>
      </c>
      <c r="D38" t="s">
        <v>53</v>
      </c>
      <c r="E38" s="5" t="s">
        <v>57</v>
      </c>
      <c r="F38">
        <v>2</v>
      </c>
      <c r="G38" s="2" t="s">
        <v>127</v>
      </c>
      <c r="H38">
        <v>13.76</v>
      </c>
      <c r="I38">
        <v>1</v>
      </c>
      <c r="J38" s="1">
        <f t="shared" si="10"/>
        <v>2</v>
      </c>
      <c r="K38" s="1">
        <f t="shared" si="11"/>
        <v>27.52</v>
      </c>
      <c r="M38" s="3">
        <f t="array" aca="1" ref="M38" ca="1">IF(OR(CELL("address")=CELL("address",A38),CELL("address")=CELL("address",B38),CELL("address")=CELL("address",C38),CELL("address")=CELL("address",D38),CELL("address")=CELL("address",E38),CELL("address")=CELL("address",F38),CELL("address")=CELL("address",G38),CELL("address")=CELL("address",H38),CELL("address")=CELL("address",I38)),NOW(),M38)</f>
        <v>45699.639453356482</v>
      </c>
    </row>
    <row r="39" spans="1:13" x14ac:dyDescent="0.55000000000000004">
      <c r="A39" s="5" t="s">
        <v>49</v>
      </c>
      <c r="C39" t="s">
        <v>67</v>
      </c>
      <c r="D39" t="s">
        <v>53</v>
      </c>
      <c r="E39" s="5" t="s">
        <v>58</v>
      </c>
      <c r="F39">
        <v>2</v>
      </c>
      <c r="G39" s="2" t="s">
        <v>128</v>
      </c>
      <c r="H39">
        <v>5.01</v>
      </c>
      <c r="I39">
        <v>1</v>
      </c>
      <c r="J39" s="1">
        <f t="shared" si="10"/>
        <v>2</v>
      </c>
      <c r="K39" s="1">
        <f t="shared" si="11"/>
        <v>10.02</v>
      </c>
      <c r="L39" t="s">
        <v>60</v>
      </c>
      <c r="M39" s="3">
        <f t="array" aca="1" ref="M39" ca="1">IF(OR(CELL("address")=CELL("address",A39),CELL("address")=CELL("address",B39),CELL("address")=CELL("address",C39),CELL("address")=CELL("address",D39),CELL("address")=CELL("address",E39),CELL("address")=CELL("address",F39),CELL("address")=CELL("address",G39),CELL("address")=CELL("address",H39),CELL("address")=CELL("address",I39)),NOW(),M39)</f>
        <v>45759.449647222224</v>
      </c>
    </row>
    <row r="40" spans="1:13" x14ac:dyDescent="0.55000000000000004">
      <c r="A40" s="5" t="s">
        <v>49</v>
      </c>
      <c r="C40" t="s">
        <v>67</v>
      </c>
      <c r="D40" t="s">
        <v>53</v>
      </c>
      <c r="E40" s="5" t="s">
        <v>213</v>
      </c>
      <c r="F40">
        <v>4</v>
      </c>
      <c r="G40" s="2" t="s">
        <v>214</v>
      </c>
      <c r="H40">
        <v>8.73</v>
      </c>
      <c r="I40">
        <v>4</v>
      </c>
      <c r="J40" s="1">
        <f t="shared" si="10"/>
        <v>1</v>
      </c>
      <c r="K40" s="1">
        <f t="shared" si="11"/>
        <v>8.73</v>
      </c>
      <c r="M40" s="3">
        <f t="array" aca="1" ref="M40" ca="1">IF(OR(CELL("address")=CELL("address",A40),CELL("address")=CELL("address",B40),CELL("address")=CELL("address",C40),CELL("address")=CELL("address",D40),CELL("address")=CELL("address",E40),CELL("address")=CELL("address",F40),CELL("address")=CELL("address",G40),CELL("address")=CELL("address",H40),CELL("address")=CELL("address",I40)),NOW(),M40)</f>
        <v>45794.930470833337</v>
      </c>
    </row>
    <row r="41" spans="1:13" x14ac:dyDescent="0.55000000000000004">
      <c r="A41" s="5" t="s">
        <v>49</v>
      </c>
      <c r="C41" t="s">
        <v>67</v>
      </c>
      <c r="D41" t="s">
        <v>53</v>
      </c>
      <c r="E41" s="5" t="s">
        <v>215</v>
      </c>
      <c r="F41">
        <v>4</v>
      </c>
      <c r="G41" s="9"/>
      <c r="H41" s="6"/>
      <c r="I41" s="6">
        <v>1</v>
      </c>
      <c r="J41" s="1">
        <f t="shared" ref="J41:J42" si="16">ROUNDUP(F41/I41,0)</f>
        <v>4</v>
      </c>
      <c r="K41" s="1">
        <f t="shared" ref="K41:K42" si="17">J41*H41</f>
        <v>0</v>
      </c>
      <c r="L41" t="s">
        <v>216</v>
      </c>
      <c r="M41" s="3">
        <f t="array" aca="1" ref="M41" ca="1">IF(OR(CELL("address")=CELL("address",A41),CELL("address")=CELL("address",B41),CELL("address")=CELL("address",C41),CELL("address")=CELL("address",D41),CELL("address")=CELL("address",E41),CELL("address")=CELL("address",F41),CELL("address")=CELL("address",G41),CELL("address")=CELL("address",H41),CELL("address")=CELL("address",I41)),NOW(),M41)</f>
        <v>45795.009833217591</v>
      </c>
    </row>
    <row r="42" spans="1:13" x14ac:dyDescent="0.55000000000000004">
      <c r="A42" s="5" t="s">
        <v>49</v>
      </c>
      <c r="C42" t="s">
        <v>67</v>
      </c>
      <c r="D42" t="s">
        <v>53</v>
      </c>
      <c r="E42" s="5" t="s">
        <v>212</v>
      </c>
      <c r="F42">
        <v>8</v>
      </c>
      <c r="G42" s="2" t="s">
        <v>211</v>
      </c>
      <c r="H42">
        <v>10.99</v>
      </c>
      <c r="I42">
        <v>8</v>
      </c>
      <c r="J42" s="1">
        <f t="shared" si="16"/>
        <v>1</v>
      </c>
      <c r="K42" s="1">
        <f t="shared" si="17"/>
        <v>10.99</v>
      </c>
      <c r="M42" s="3">
        <f t="array" aca="1" ref="M42" ca="1">IF(OR(CELL("address")=CELL("address",A42),CELL("address")=CELL("address",B42),CELL("address")=CELL("address",C42),CELL("address")=CELL("address",D42),CELL("address")=CELL("address",E42),CELL("address")=CELL("address",F42),CELL("address")=CELL("address",G42),CELL("address")=CELL("address",H42),CELL("address")=CELL("address",I42)),NOW(),M42)</f>
        <v>45759.449647222224</v>
      </c>
    </row>
    <row r="43" spans="1:13" x14ac:dyDescent="0.55000000000000004">
      <c r="A43" s="5" t="s">
        <v>49</v>
      </c>
      <c r="C43" t="s">
        <v>129</v>
      </c>
      <c r="D43" t="s">
        <v>262</v>
      </c>
      <c r="E43" s="5" t="s">
        <v>249</v>
      </c>
      <c r="F43">
        <v>1</v>
      </c>
      <c r="G43" s="2" t="s">
        <v>248</v>
      </c>
      <c r="H43">
        <v>7.99</v>
      </c>
      <c r="I43">
        <v>1</v>
      </c>
      <c r="J43" s="1">
        <f>ROUNDUP(F43/I43,0)</f>
        <v>1</v>
      </c>
      <c r="K43" s="1">
        <f>J43*H43</f>
        <v>7.99</v>
      </c>
      <c r="L43" t="s">
        <v>264</v>
      </c>
      <c r="M43" s="3">
        <f t="array" aca="1" ref="M43" ca="1">IF(OR(CELL("address")=CELL("address",A43),CELL("address")=CELL("address",B43),CELL("address")=CELL("address",C43),CELL("address")=CELL("address",D43),CELL("address")=CELL("address",E43),CELL("address")=CELL("address",F43),CELL("address")=CELL("address",G43),CELL("address")=CELL("address",H43),CELL("address")=CELL("address",I43)),NOW(),M43)</f>
        <v>45794.917324652779</v>
      </c>
    </row>
    <row r="44" spans="1:13" x14ac:dyDescent="0.55000000000000004">
      <c r="A44" s="5" t="s">
        <v>49</v>
      </c>
      <c r="C44" t="s">
        <v>129</v>
      </c>
      <c r="D44" t="s">
        <v>262</v>
      </c>
      <c r="E44" s="5" t="s">
        <v>263</v>
      </c>
      <c r="F44">
        <v>4</v>
      </c>
      <c r="G44" s="2" t="s">
        <v>188</v>
      </c>
      <c r="H44">
        <v>23.99</v>
      </c>
      <c r="I44">
        <v>2</v>
      </c>
      <c r="J44" s="1">
        <f>ROUNDUP(F44/I44,0)</f>
        <v>2</v>
      </c>
      <c r="K44" s="1">
        <f>J44*H44</f>
        <v>47.98</v>
      </c>
      <c r="M44" s="3">
        <f t="array" aca="1" ref="M44" ca="1">IF(OR(CELL("address")=CELL("address",A44),CELL("address")=CELL("address",B44),CELL("address")=CELL("address",C44),CELL("address")=CELL("address",D44),CELL("address")=CELL("address",E44),CELL("address")=CELL("address",F44),CELL("address")=CELL("address",G44),CELL("address")=CELL("address",H44),CELL("address")=CELL("address",I44)),NOW(),M44)</f>
        <v>45794.914960069444</v>
      </c>
    </row>
    <row r="45" spans="1:13" x14ac:dyDescent="0.55000000000000004">
      <c r="A45" s="5" t="s">
        <v>49</v>
      </c>
      <c r="C45" t="s">
        <v>129</v>
      </c>
      <c r="D45" t="s">
        <v>262</v>
      </c>
      <c r="E45" s="5" t="s">
        <v>252</v>
      </c>
      <c r="F45">
        <v>25</v>
      </c>
      <c r="G45" s="2" t="s">
        <v>251</v>
      </c>
      <c r="H45">
        <v>8.99</v>
      </c>
      <c r="I45">
        <v>4</v>
      </c>
      <c r="J45" s="1">
        <f>ROUNDUP(F45/I45,0)</f>
        <v>7</v>
      </c>
      <c r="K45" s="1">
        <f>J45*H45</f>
        <v>62.93</v>
      </c>
      <c r="M45" s="3">
        <f t="array" aca="1" ref="M45" ca="1">IF(OR(CELL("address")=CELL("address",A45),CELL("address")=CELL("address",B45),CELL("address")=CELL("address",C45),CELL("address")=CELL("address",D45),CELL("address")=CELL("address",E45),CELL("address")=CELL("address",F45),CELL("address")=CELL("address",G45),CELL("address")=CELL("address",H45),CELL("address")=CELL("address",I45)),NOW(),M45)</f>
        <v>45794.89084699074</v>
      </c>
    </row>
    <row r="46" spans="1:13" x14ac:dyDescent="0.55000000000000004">
      <c r="A46" s="5" t="s">
        <v>49</v>
      </c>
      <c r="B46" t="s">
        <v>19</v>
      </c>
      <c r="C46" t="s">
        <v>129</v>
      </c>
      <c r="D46" t="s">
        <v>172</v>
      </c>
      <c r="E46" s="5" t="s">
        <v>261</v>
      </c>
      <c r="F46">
        <v>2</v>
      </c>
      <c r="G46" s="10" t="s">
        <v>161</v>
      </c>
      <c r="H46">
        <v>56.3</v>
      </c>
      <c r="I46">
        <v>1</v>
      </c>
      <c r="J46" s="1">
        <f t="shared" ref="J46:J65" si="18">ROUNDUP(F46/I46,0)</f>
        <v>2</v>
      </c>
      <c r="K46" s="1">
        <f t="shared" ref="K46:K65" si="19">J46*H46</f>
        <v>112.6</v>
      </c>
      <c r="M46" s="3">
        <f t="array" aca="1" ref="M46" ca="1">IF(OR(CELL("address")=CELL("address",A46),CELL("address")=CELL("address",B46),CELL("address")=CELL("address",C46),CELL("address")=CELL("address",D46),CELL("address")=CELL("address",E46),CELL("address")=CELL("address",F46),CELL("address")=CELL("address",G46),CELL("address")=CELL("address",H46),CELL("address")=CELL("address",I46)),NOW(),M46)</f>
        <v>45794.918360300922</v>
      </c>
    </row>
    <row r="47" spans="1:13" x14ac:dyDescent="0.55000000000000004">
      <c r="A47" s="5" t="s">
        <v>49</v>
      </c>
      <c r="B47" t="s">
        <v>19</v>
      </c>
      <c r="C47" t="s">
        <v>129</v>
      </c>
      <c r="D47" t="s">
        <v>172</v>
      </c>
      <c r="E47" s="5" t="s">
        <v>260</v>
      </c>
      <c r="F47">
        <v>1</v>
      </c>
      <c r="G47" s="2" t="s">
        <v>259</v>
      </c>
      <c r="H47">
        <v>24.99</v>
      </c>
      <c r="I47">
        <v>2</v>
      </c>
      <c r="J47" s="1">
        <f t="shared" ref="J47" si="20">ROUNDUP(F47/I47,0)</f>
        <v>1</v>
      </c>
      <c r="K47" s="1">
        <f t="shared" ref="K47" si="21">J47*H47</f>
        <v>24.99</v>
      </c>
      <c r="M47" s="3">
        <f t="array" aca="1" ref="M47" ca="1">IF(OR(CELL("address")=CELL("address",A47),CELL("address")=CELL("address",B47),CELL("address")=CELL("address",C47),CELL("address")=CELL("address",D47),CELL("address")=CELL("address",E47),CELL("address")=CELL("address",F47),CELL("address")=CELL("address",G47),CELL("address")=CELL("address",H47),CELL("address")=CELL("address",I47)),NOW(),M47)</f>
        <v>45794.918360300922</v>
      </c>
    </row>
    <row r="48" spans="1:13" x14ac:dyDescent="0.55000000000000004">
      <c r="A48" s="5" t="s">
        <v>49</v>
      </c>
      <c r="C48" t="s">
        <v>129</v>
      </c>
      <c r="D48" t="s">
        <v>172</v>
      </c>
      <c r="E48" s="5" t="s">
        <v>149</v>
      </c>
      <c r="F48">
        <v>2</v>
      </c>
      <c r="G48" s="2" t="s">
        <v>148</v>
      </c>
      <c r="H48">
        <v>8.99</v>
      </c>
      <c r="I48">
        <v>2</v>
      </c>
      <c r="J48" s="1">
        <f t="shared" si="18"/>
        <v>1</v>
      </c>
      <c r="K48" s="1">
        <f t="shared" si="19"/>
        <v>8.99</v>
      </c>
      <c r="M48" s="3">
        <f t="array" aca="1" ref="M48" ca="1">IF(OR(CELL("address")=CELL("address",A48),CELL("address")=CELL("address",B48),CELL("address")=CELL("address",C48),CELL("address")=CELL("address",D48),CELL("address")=CELL("address",E48),CELL("address")=CELL("address",F48),CELL("address")=CELL("address",G48),CELL("address")=CELL("address",H48),CELL("address")=CELL("address",I48)),NOW(),M48)</f>
        <v>45794.573409143515</v>
      </c>
    </row>
    <row r="49" spans="1:13" x14ac:dyDescent="0.55000000000000004">
      <c r="A49" s="5" t="s">
        <v>49</v>
      </c>
      <c r="C49" t="s">
        <v>129</v>
      </c>
      <c r="D49" t="s">
        <v>172</v>
      </c>
      <c r="E49" s="5" t="s">
        <v>153</v>
      </c>
      <c r="F49">
        <v>4</v>
      </c>
      <c r="G49" s="10" t="s">
        <v>162</v>
      </c>
      <c r="H49">
        <v>9.99</v>
      </c>
      <c r="I49">
        <v>10</v>
      </c>
      <c r="J49" s="1">
        <f t="shared" si="18"/>
        <v>1</v>
      </c>
      <c r="K49" s="1">
        <f t="shared" si="19"/>
        <v>9.99</v>
      </c>
      <c r="M49" s="3">
        <f t="array" aca="1" ref="M49" ca="1">IF(OR(CELL("address")=CELL("address",A49),CELL("address")=CELL("address",B49),CELL("address")=CELL("address",C49),CELL("address")=CELL("address",D49),CELL("address")=CELL("address",E49),CELL("address")=CELL("address",F49),CELL("address")=CELL("address",G49),CELL("address")=CELL("address",H49),CELL("address")=CELL("address",I49)),NOW(),M49)</f>
        <v>46051.8697994213</v>
      </c>
    </row>
    <row r="50" spans="1:13" x14ac:dyDescent="0.55000000000000004">
      <c r="A50" s="5" t="s">
        <v>49</v>
      </c>
      <c r="C50" t="s">
        <v>129</v>
      </c>
      <c r="D50" t="s">
        <v>172</v>
      </c>
      <c r="E50" s="5" t="s">
        <v>159</v>
      </c>
      <c r="F50">
        <v>2</v>
      </c>
      <c r="G50" s="10" t="s">
        <v>160</v>
      </c>
      <c r="H50">
        <v>12.29</v>
      </c>
      <c r="I50">
        <v>2</v>
      </c>
      <c r="J50" s="1">
        <f t="shared" si="18"/>
        <v>1</v>
      </c>
      <c r="K50" s="1">
        <f t="shared" si="19"/>
        <v>12.29</v>
      </c>
      <c r="M50" s="3">
        <f t="array" aca="1" ref="M50" ca="1">IF(OR(CELL("address")=CELL("address",A50),CELL("address")=CELL("address",B50),CELL("address")=CELL("address",C50),CELL("address")=CELL("address",D50),CELL("address")=CELL("address",E50),CELL("address")=CELL("address",F50),CELL("address")=CELL("address",G50),CELL("address")=CELL("address",H50),CELL("address")=CELL("address",I50)),NOW(),M50)</f>
        <v>45661.896769675928</v>
      </c>
    </row>
    <row r="51" spans="1:13" x14ac:dyDescent="0.55000000000000004">
      <c r="A51" s="5" t="s">
        <v>49</v>
      </c>
      <c r="C51" t="s">
        <v>129</v>
      </c>
      <c r="D51" t="s">
        <v>172</v>
      </c>
      <c r="E51" s="5" t="s">
        <v>163</v>
      </c>
      <c r="F51">
        <v>2</v>
      </c>
      <c r="G51" s="10" t="s">
        <v>181</v>
      </c>
      <c r="H51">
        <v>8.19</v>
      </c>
      <c r="I51">
        <v>2</v>
      </c>
      <c r="J51" s="1">
        <f t="shared" si="18"/>
        <v>1</v>
      </c>
      <c r="K51" s="1">
        <f t="shared" si="19"/>
        <v>8.19</v>
      </c>
      <c r="M51" s="3">
        <f t="array" aca="1" ref="M51" ca="1">IF(OR(CELL("address")=CELL("address",A51),CELL("address")=CELL("address",B51),CELL("address")=CELL("address",C51),CELL("address")=CELL("address",D51),CELL("address")=CELL("address",E51),CELL("address")=CELL("address",F51),CELL("address")=CELL("address",G51),CELL("address")=CELL("address",H51),CELL("address")=CELL("address",I51)),NOW(),M51)</f>
        <v>45646.883798726849</v>
      </c>
    </row>
    <row r="52" spans="1:13" x14ac:dyDescent="0.55000000000000004">
      <c r="A52" s="5" t="s">
        <v>49</v>
      </c>
      <c r="C52" t="s">
        <v>129</v>
      </c>
      <c r="E52" s="5" t="s">
        <v>165</v>
      </c>
      <c r="F52">
        <v>8</v>
      </c>
      <c r="G52" s="10" t="s">
        <v>156</v>
      </c>
      <c r="H52">
        <v>16.91</v>
      </c>
      <c r="I52">
        <v>10</v>
      </c>
      <c r="J52" s="1">
        <f t="shared" si="18"/>
        <v>1</v>
      </c>
      <c r="K52" s="1">
        <f t="shared" si="19"/>
        <v>16.91</v>
      </c>
      <c r="L52" t="s">
        <v>164</v>
      </c>
      <c r="M52" s="3">
        <f t="array" aca="1" ref="M52" ca="1">IF(OR(CELL("address")=CELL("address",A52),CELL("address")=CELL("address",B52),CELL("address")=CELL("address",C52),CELL("address")=CELL("address",D52),CELL("address")=CELL("address",E52),CELL("address")=CELL("address",F52),CELL("address")=CELL("address",G52),CELL("address")=CELL("address",H52),CELL("address")=CELL("address",I52)),NOW(),M52)</f>
        <v>45646.883798726849</v>
      </c>
    </row>
    <row r="53" spans="1:13" x14ac:dyDescent="0.55000000000000004">
      <c r="A53" s="5" t="s">
        <v>49</v>
      </c>
      <c r="C53" t="s">
        <v>129</v>
      </c>
      <c r="D53" t="s">
        <v>173</v>
      </c>
      <c r="E53" s="5" t="s">
        <v>152</v>
      </c>
      <c r="F53">
        <v>20</v>
      </c>
      <c r="G53" s="10" t="s">
        <v>151</v>
      </c>
      <c r="H53">
        <v>12.88</v>
      </c>
      <c r="I53">
        <v>10</v>
      </c>
      <c r="J53" s="1">
        <f t="shared" si="18"/>
        <v>2</v>
      </c>
      <c r="K53" s="1">
        <f t="shared" si="19"/>
        <v>25.76</v>
      </c>
      <c r="M53" s="3">
        <f t="array" aca="1" ref="M53" ca="1">IF(OR(CELL("address")=CELL("address",A53),CELL("address")=CELL("address",B53),CELL("address")=CELL("address",C53),CELL("address")=CELL("address",D53),CELL("address")=CELL("address",E53),CELL("address")=CELL("address",F53),CELL("address")=CELL("address",G53),CELL("address")=CELL("address",H53),CELL("address")=CELL("address",I53)),NOW(),M53)</f>
        <v>45646.883798726849</v>
      </c>
    </row>
    <row r="54" spans="1:13" x14ac:dyDescent="0.55000000000000004">
      <c r="A54" s="5" t="s">
        <v>49</v>
      </c>
      <c r="C54" t="s">
        <v>129</v>
      </c>
      <c r="D54" t="s">
        <v>173</v>
      </c>
      <c r="E54" s="5" t="s">
        <v>157</v>
      </c>
      <c r="F54">
        <v>8</v>
      </c>
      <c r="G54" s="10" t="s">
        <v>158</v>
      </c>
      <c r="H54">
        <v>9.99</v>
      </c>
      <c r="I54">
        <v>2</v>
      </c>
      <c r="J54" s="1">
        <f t="shared" si="18"/>
        <v>4</v>
      </c>
      <c r="K54" s="1">
        <f t="shared" si="19"/>
        <v>39.96</v>
      </c>
      <c r="L54" t="s">
        <v>189</v>
      </c>
      <c r="M54" s="3">
        <f t="array" aca="1" ref="M54" ca="1">IF(OR(CELL("address")=CELL("address",A54),CELL("address")=CELL("address",B54),CELL("address")=CELL("address",C54),CELL("address")=CELL("address",D54),CELL("address")=CELL("address",E54),CELL("address")=CELL("address",F54),CELL("address")=CELL("address",G54),CELL("address")=CELL("address",H54),CELL("address")=CELL("address",I54)),NOW(),M54)</f>
        <v>45795.01019872685</v>
      </c>
    </row>
    <row r="55" spans="1:13" x14ac:dyDescent="0.55000000000000004">
      <c r="A55" s="5" t="s">
        <v>49</v>
      </c>
      <c r="C55" t="s">
        <v>129</v>
      </c>
      <c r="D55" t="s">
        <v>173</v>
      </c>
      <c r="E55" s="5" t="s">
        <v>190</v>
      </c>
      <c r="F55">
        <v>8</v>
      </c>
      <c r="G55" s="10" t="s">
        <v>191</v>
      </c>
      <c r="H55">
        <v>12.49</v>
      </c>
      <c r="I55">
        <v>10</v>
      </c>
      <c r="J55" s="1">
        <f t="shared" ref="J55:J61" si="22">ROUNDUP(F55/I55,0)</f>
        <v>1</v>
      </c>
      <c r="K55" s="1">
        <f t="shared" ref="K55:K61" si="23">J55*H55</f>
        <v>12.49</v>
      </c>
      <c r="L55" t="s">
        <v>192</v>
      </c>
      <c r="M55" s="3">
        <f t="array" aca="1" ref="M55" ca="1">IF(OR(CELL("address")=CELL("address",A55),CELL("address")=CELL("address",B55),CELL("address")=CELL("address",C55),CELL("address")=CELL("address",D55),CELL("address")=CELL("address",E55),CELL("address")=CELL("address",F55),CELL("address")=CELL("address",G55),CELL("address")=CELL("address",H55),CELL("address")=CELL("address",I55)),NOW(),M55)</f>
        <v>45661.891742361113</v>
      </c>
    </row>
    <row r="56" spans="1:13" x14ac:dyDescent="0.55000000000000004">
      <c r="A56" s="5" t="s">
        <v>63</v>
      </c>
      <c r="C56" t="s">
        <v>129</v>
      </c>
      <c r="D56" t="s">
        <v>173</v>
      </c>
      <c r="E56" s="5" t="s">
        <v>175</v>
      </c>
      <c r="F56">
        <v>0</v>
      </c>
      <c r="G56" s="10" t="s">
        <v>177</v>
      </c>
      <c r="H56">
        <v>0</v>
      </c>
      <c r="I56">
        <v>1</v>
      </c>
      <c r="J56" s="1">
        <f t="shared" si="22"/>
        <v>0</v>
      </c>
      <c r="K56" s="1">
        <f t="shared" si="23"/>
        <v>0</v>
      </c>
      <c r="M56" s="3">
        <f t="array" aca="1" ref="M56" ca="1">IF(OR(CELL("address")=CELL("address",A56),CELL("address")=CELL("address",B56),CELL("address")=CELL("address",C56),CELL("address")=CELL("address",D56),CELL("address")=CELL("address",E56),CELL("address")=CELL("address",F56),CELL("address")=CELL("address",G56),CELL("address")=CELL("address",H56),CELL("address")=CELL("address",I56)),NOW(),M56)</f>
        <v>45661.895691898149</v>
      </c>
    </row>
    <row r="57" spans="1:13" x14ac:dyDescent="0.55000000000000004">
      <c r="A57" s="5" t="s">
        <v>49</v>
      </c>
      <c r="C57" t="s">
        <v>129</v>
      </c>
      <c r="D57" t="s">
        <v>174</v>
      </c>
      <c r="E57" s="5" t="s">
        <v>168</v>
      </c>
      <c r="F57">
        <v>2</v>
      </c>
      <c r="G57" s="10" t="s">
        <v>166</v>
      </c>
      <c r="H57">
        <v>17.59</v>
      </c>
      <c r="I57">
        <v>2</v>
      </c>
      <c r="J57" s="1">
        <f t="shared" si="22"/>
        <v>1</v>
      </c>
      <c r="K57" s="1">
        <f t="shared" si="23"/>
        <v>17.59</v>
      </c>
      <c r="M57" s="3">
        <f t="array" aca="1" ref="M57" ca="1">IF(OR(CELL("address")=CELL("address",A57),CELL("address")=CELL("address",B57),CELL("address")=CELL("address",C57),CELL("address")=CELL("address",D57),CELL("address")=CELL("address",E57),CELL("address")=CELL("address",F57),CELL("address")=CELL("address",G57),CELL("address")=CELL("address",H57),CELL("address")=CELL("address",I57)),NOW(),M57)</f>
        <v>45646.883798726849</v>
      </c>
    </row>
    <row r="58" spans="1:13" x14ac:dyDescent="0.55000000000000004">
      <c r="A58" s="5" t="s">
        <v>49</v>
      </c>
      <c r="C58" t="s">
        <v>129</v>
      </c>
      <c r="D58" t="s">
        <v>174</v>
      </c>
      <c r="E58" s="5" t="s">
        <v>170</v>
      </c>
      <c r="F58">
        <v>2</v>
      </c>
      <c r="G58" s="10" t="s">
        <v>171</v>
      </c>
      <c r="H58">
        <v>6.69</v>
      </c>
      <c r="I58">
        <v>2</v>
      </c>
      <c r="J58" s="1">
        <f t="shared" si="22"/>
        <v>1</v>
      </c>
      <c r="K58" s="1">
        <f t="shared" si="23"/>
        <v>6.69</v>
      </c>
      <c r="M58" s="3">
        <f t="array" aca="1" ref="M58" ca="1">IF(OR(CELL("address")=CELL("address",A58),CELL("address")=CELL("address",B58),CELL("address")=CELL("address",C58),CELL("address")=CELL("address",D58),CELL("address")=CELL("address",E58),CELL("address")=CELL("address",F58),CELL("address")=CELL("address",G58),CELL("address")=CELL("address",H58),CELL("address")=CELL("address",I58)),NOW(),M58)</f>
        <v>45646.883798726849</v>
      </c>
    </row>
    <row r="59" spans="1:13" x14ac:dyDescent="0.55000000000000004">
      <c r="A59" s="4" t="s">
        <v>49</v>
      </c>
      <c r="C59" t="s">
        <v>129</v>
      </c>
      <c r="D59" t="s">
        <v>174</v>
      </c>
      <c r="E59" s="4" t="s">
        <v>169</v>
      </c>
      <c r="F59">
        <v>4</v>
      </c>
      <c r="G59" s="10" t="s">
        <v>306</v>
      </c>
      <c r="H59">
        <v>0</v>
      </c>
      <c r="I59">
        <v>1</v>
      </c>
      <c r="J59" s="1">
        <f t="shared" si="22"/>
        <v>4</v>
      </c>
      <c r="K59" s="1">
        <f t="shared" si="23"/>
        <v>0</v>
      </c>
      <c r="M59" s="3">
        <f t="array" aca="1" ref="M59" ca="1">IF(OR(CELL("address")=CELL("address",A59),CELL("address")=CELL("address",B59),CELL("address")=CELL("address",C59),CELL("address")=CELL("address",D59),CELL("address")=CELL("address",E59),CELL("address")=CELL("address",F59),CELL("address")=CELL("address",G59),CELL("address")=CELL("address",H59),CELL("address")=CELL("address",I59)),NOW(),M59)</f>
        <v>45795.010351851852</v>
      </c>
    </row>
    <row r="60" spans="1:13" x14ac:dyDescent="0.55000000000000004">
      <c r="A60" s="4" t="s">
        <v>178</v>
      </c>
      <c r="C60" t="s">
        <v>129</v>
      </c>
      <c r="D60" t="s">
        <v>174</v>
      </c>
      <c r="E60" s="4" t="s">
        <v>167</v>
      </c>
      <c r="F60">
        <v>2</v>
      </c>
      <c r="G60" s="10" t="s">
        <v>48</v>
      </c>
      <c r="H60">
        <v>0</v>
      </c>
      <c r="I60">
        <v>1</v>
      </c>
      <c r="J60" s="1">
        <f t="shared" si="22"/>
        <v>2</v>
      </c>
      <c r="K60" s="1">
        <f t="shared" si="23"/>
        <v>0</v>
      </c>
      <c r="M60" s="3">
        <f t="array" aca="1" ref="M60" ca="1">IF(OR(CELL("address")=CELL("address",A60),CELL("address")=CELL("address",B60),CELL("address")=CELL("address",C60),CELL("address")=CELL("address",D60),CELL("address")=CELL("address",E60),CELL("address")=CELL("address",F60),CELL("address")=CELL("address",G60),CELL("address")=CELL("address",H60),CELL("address")=CELL("address",I60)),NOW(),M60)</f>
        <v>45795.010864004631</v>
      </c>
    </row>
    <row r="61" spans="1:13" x14ac:dyDescent="0.55000000000000004">
      <c r="A61" s="5" t="s">
        <v>63</v>
      </c>
      <c r="C61" t="s">
        <v>129</v>
      </c>
      <c r="D61" t="s">
        <v>174</v>
      </c>
      <c r="E61" s="5" t="s">
        <v>176</v>
      </c>
      <c r="F61">
        <v>4</v>
      </c>
      <c r="G61" s="10" t="s">
        <v>48</v>
      </c>
      <c r="H61">
        <v>0</v>
      </c>
      <c r="I61">
        <v>1</v>
      </c>
      <c r="J61" s="1">
        <f t="shared" si="22"/>
        <v>4</v>
      </c>
      <c r="K61" s="1">
        <f t="shared" si="23"/>
        <v>0</v>
      </c>
      <c r="M61" s="3">
        <f t="array" aca="1" ref="M61" ca="1">IF(OR(CELL("address")=CELL("address",A61),CELL("address")=CELL("address",B61),CELL("address")=CELL("address",C61),CELL("address")=CELL("address",D61),CELL("address")=CELL("address",E61),CELL("address")=CELL("address",F61),CELL("address")=CELL("address",G61),CELL("address")=CELL("address",H61),CELL("address")=CELL("address",I61)),NOW(),M61)</f>
        <v>45646.897749305557</v>
      </c>
    </row>
    <row r="62" spans="1:13" x14ac:dyDescent="0.55000000000000004">
      <c r="A62" s="5" t="s">
        <v>49</v>
      </c>
      <c r="C62" t="s">
        <v>129</v>
      </c>
      <c r="D62" t="s">
        <v>180</v>
      </c>
      <c r="E62" s="5" t="s">
        <v>144</v>
      </c>
      <c r="F62">
        <v>2</v>
      </c>
      <c r="G62" s="2" t="s">
        <v>143</v>
      </c>
      <c r="H62">
        <v>13.63</v>
      </c>
      <c r="I62">
        <v>1</v>
      </c>
      <c r="J62" s="1">
        <f t="shared" si="18"/>
        <v>2</v>
      </c>
      <c r="K62" s="1">
        <f t="shared" si="19"/>
        <v>27.26</v>
      </c>
      <c r="M62" s="3">
        <f t="array" aca="1" ref="M62" ca="1">IF(OR(CELL("address")=CELL("address",A62),CELL("address")=CELL("address",B62),CELL("address")=CELL("address",C62),CELL("address")=CELL("address",D62),CELL("address")=CELL("address",E62),CELL("address")=CELL("address",F62),CELL("address")=CELL("address",G62),CELL("address")=CELL("address",H62),CELL("address")=CELL("address",I62)),NOW(),M62)</f>
        <v>45661.896488078703</v>
      </c>
    </row>
    <row r="63" spans="1:13" x14ac:dyDescent="0.55000000000000004">
      <c r="A63" s="5" t="s">
        <v>49</v>
      </c>
      <c r="B63" t="s">
        <v>19</v>
      </c>
      <c r="C63" t="s">
        <v>129</v>
      </c>
      <c r="D63" t="s">
        <v>180</v>
      </c>
      <c r="E63" s="5" t="s">
        <v>121</v>
      </c>
      <c r="F63">
        <v>4</v>
      </c>
      <c r="G63" s="2" t="s">
        <v>120</v>
      </c>
      <c r="H63">
        <v>8.2899999999999991</v>
      </c>
      <c r="I63">
        <v>6</v>
      </c>
      <c r="J63" s="1">
        <f t="shared" si="18"/>
        <v>1</v>
      </c>
      <c r="K63" s="1">
        <f t="shared" si="19"/>
        <v>8.2899999999999991</v>
      </c>
      <c r="M63" s="3">
        <f t="array" aca="1" ref="M63" ca="1">IF(OR(CELL("address")=CELL("address",A63),CELL("address")=CELL("address",B63),CELL("address")=CELL("address",C63),CELL("address")=CELL("address",D63),CELL("address")=CELL("address",E63),CELL("address")=CELL("address",F63),CELL("address")=CELL("address",G63),CELL("address")=CELL("address",H63),CELL("address")=CELL("address",I63)),NOW(),M63)</f>
        <v>45646.883798726849</v>
      </c>
    </row>
    <row r="64" spans="1:13" x14ac:dyDescent="0.55000000000000004">
      <c r="A64" s="5" t="s">
        <v>49</v>
      </c>
      <c r="B64" t="s">
        <v>19</v>
      </c>
      <c r="C64" t="s">
        <v>129</v>
      </c>
      <c r="D64" t="s">
        <v>180</v>
      </c>
      <c r="E64" s="5" t="s">
        <v>25</v>
      </c>
      <c r="F64">
        <v>4</v>
      </c>
      <c r="G64" s="2" t="s">
        <v>150</v>
      </c>
      <c r="H64">
        <v>60.97</v>
      </c>
      <c r="I64">
        <v>1</v>
      </c>
      <c r="J64" s="1">
        <f t="shared" si="18"/>
        <v>4</v>
      </c>
      <c r="K64" s="1">
        <f t="shared" si="19"/>
        <v>243.88</v>
      </c>
      <c r="M64" s="3">
        <f t="array" aca="1" ref="M64" ca="1">IF(OR(CELL("address")=CELL("address",A64),CELL("address")=CELL("address",B64),CELL("address")=CELL("address",C64),CELL("address")=CELL("address",D64),CELL("address")=CELL("address",E64),CELL("address")=CELL("address",F64),CELL("address")=CELL("address",G64),CELL("address")=CELL("address",H64),CELL("address")=CELL("address",I64)),NOW(),M64)</f>
        <v>45646.883798726849</v>
      </c>
    </row>
    <row r="65" spans="1:13" x14ac:dyDescent="0.55000000000000004">
      <c r="A65" s="5" t="s">
        <v>49</v>
      </c>
      <c r="C65" t="s">
        <v>129</v>
      </c>
      <c r="D65" t="s">
        <v>180</v>
      </c>
      <c r="E65" s="5" t="s">
        <v>133</v>
      </c>
      <c r="F65">
        <f>8*4</f>
        <v>32</v>
      </c>
      <c r="G65" s="2" t="s">
        <v>221</v>
      </c>
      <c r="H65">
        <v>9.69</v>
      </c>
      <c r="I65">
        <v>50</v>
      </c>
      <c r="J65" s="1">
        <f t="shared" si="18"/>
        <v>1</v>
      </c>
      <c r="K65" s="1">
        <f t="shared" si="19"/>
        <v>9.69</v>
      </c>
      <c r="M65" s="3">
        <f t="array" aca="1" ref="M65" ca="1">IF(OR(CELL("address")=CELL("address",A65),CELL("address")=CELL("address",B65),CELL("address")=CELL("address",C65),CELL("address")=CELL("address",D65),CELL("address")=CELL("address",E65),CELL("address")=CELL("address",F65),CELL("address")=CELL("address",G65),CELL("address")=CELL("address",H65),CELL("address")=CELL("address",I65)),NOW(),M65)</f>
        <v>45794.749220138889</v>
      </c>
    </row>
    <row r="66" spans="1:13" x14ac:dyDescent="0.55000000000000004">
      <c r="A66" s="5" t="s">
        <v>49</v>
      </c>
      <c r="C66" t="s">
        <v>129</v>
      </c>
      <c r="D66" t="s">
        <v>180</v>
      </c>
      <c r="E66" s="11" t="s">
        <v>223</v>
      </c>
      <c r="F66">
        <v>32</v>
      </c>
      <c r="G66" s="2" t="s">
        <v>222</v>
      </c>
      <c r="H66">
        <v>6.99</v>
      </c>
      <c r="I66">
        <v>100</v>
      </c>
      <c r="J66" s="1">
        <f t="shared" ref="J66" si="24">ROUNDUP(F66/I66,0)</f>
        <v>1</v>
      </c>
      <c r="K66" s="1">
        <f t="shared" ref="K66" si="25">J66*H66</f>
        <v>6.99</v>
      </c>
      <c r="M66" s="3">
        <f t="array" aca="1" ref="M66" ca="1">IF(OR(CELL("address")=CELL("address",A66),CELL("address")=CELL("address",B66),CELL("address")=CELL("address",C66),CELL("address")=CELL("address",D66),CELL("address")=CELL("address",E66),CELL("address")=CELL("address",F66),CELL("address")=CELL("address",G66),CELL("address")=CELL("address",H66),CELL("address")=CELL("address",I66)),NOW(),M66)</f>
        <v>45794.878334374996</v>
      </c>
    </row>
    <row r="67" spans="1:13" x14ac:dyDescent="0.55000000000000004">
      <c r="A67" s="5" t="s">
        <v>49</v>
      </c>
      <c r="C67" t="s">
        <v>129</v>
      </c>
      <c r="D67" t="s">
        <v>180</v>
      </c>
      <c r="E67" s="5" t="s">
        <v>35</v>
      </c>
      <c r="F67">
        <v>8</v>
      </c>
      <c r="G67" s="2" t="s">
        <v>145</v>
      </c>
      <c r="H67">
        <v>9.99</v>
      </c>
      <c r="I67">
        <v>5</v>
      </c>
      <c r="J67" s="1">
        <f>ROUNDUP(F67/I67,0)</f>
        <v>2</v>
      </c>
      <c r="K67" s="1">
        <f>J67*H67</f>
        <v>19.98</v>
      </c>
      <c r="M67" s="3">
        <f t="array" aca="1" ref="M67" ca="1">IF(OR(CELL("address")=CELL("address",A67),CELL("address")=CELL("address",B67),CELL("address")=CELL("address",C67),CELL("address")=CELL("address",D67),CELL("address")=CELL("address",E67),CELL("address")=CELL("address",F67),CELL("address")=CELL("address",G67),CELL("address")=CELL("address",H67),CELL("address")=CELL("address",I67)),NOW(),M67)</f>
        <v>45646.883798726849</v>
      </c>
    </row>
    <row r="68" spans="1:13" x14ac:dyDescent="0.55000000000000004">
      <c r="A68" s="4" t="s">
        <v>49</v>
      </c>
      <c r="C68" t="s">
        <v>129</v>
      </c>
      <c r="D68" t="s">
        <v>180</v>
      </c>
      <c r="E68" s="5" t="s">
        <v>146</v>
      </c>
      <c r="F68">
        <v>8</v>
      </c>
      <c r="G68" s="2" t="s">
        <v>147</v>
      </c>
      <c r="H68">
        <v>3.3</v>
      </c>
      <c r="I68">
        <v>1</v>
      </c>
      <c r="J68" s="1">
        <f>ROUNDUP(F68/I68,0)</f>
        <v>8</v>
      </c>
      <c r="K68" s="1">
        <f>J68*H68</f>
        <v>26.4</v>
      </c>
      <c r="M68" s="3">
        <f t="array" aca="1" ref="M68" ca="1">IF(OR(CELL("address")=CELL("address",A68),CELL("address")=CELL("address",B68),CELL("address")=CELL("address",C68),CELL("address")=CELL("address",D68),CELL("address")=CELL("address",E68),CELL("address")=CELL("address",F68),CELL("address")=CELL("address",G68),CELL("address")=CELL("address",H68),CELL("address")=CELL("address",I68)),NOW(),M68)</f>
        <v>45699.641425578702</v>
      </c>
    </row>
    <row r="69" spans="1:13" x14ac:dyDescent="0.55000000000000004">
      <c r="A69" s="5" t="s">
        <v>49</v>
      </c>
      <c r="B69" t="s">
        <v>19</v>
      </c>
      <c r="C69" t="s">
        <v>129</v>
      </c>
      <c r="D69" t="s">
        <v>195</v>
      </c>
      <c r="E69" s="5" t="s">
        <v>105</v>
      </c>
      <c r="F69">
        <v>1</v>
      </c>
      <c r="G69" s="2" t="s">
        <v>104</v>
      </c>
      <c r="H69">
        <v>7.99</v>
      </c>
      <c r="I69">
        <v>10</v>
      </c>
      <c r="J69" s="1">
        <f t="shared" ref="J69:J118" si="26">ROUNDUP(F69/I69,0)</f>
        <v>1</v>
      </c>
      <c r="K69" s="1">
        <f t="shared" ref="K69:K118" si="27">J69*H69</f>
        <v>7.99</v>
      </c>
      <c r="L69" t="s">
        <v>106</v>
      </c>
      <c r="M69" s="3">
        <f t="array" aca="1" ref="M69" ca="1">IF(OR(CELL("address")=CELL("address",A69),CELL("address")=CELL("address",B69),CELL("address")=CELL("address",C69),CELL("address")=CELL("address",D69),CELL("address")=CELL("address",E69),CELL("address")=CELL("address",F69),CELL("address")=CELL("address",G69),CELL("address")=CELL("address",H69),CELL("address")=CELL("address",I69)),NOW(),M69)</f>
        <v>45794.878587500003</v>
      </c>
    </row>
    <row r="70" spans="1:13" x14ac:dyDescent="0.55000000000000004">
      <c r="A70" s="7" t="s">
        <v>63</v>
      </c>
      <c r="C70" t="s">
        <v>129</v>
      </c>
      <c r="D70" t="s">
        <v>195</v>
      </c>
      <c r="E70" s="7" t="s">
        <v>227</v>
      </c>
      <c r="F70">
        <v>4</v>
      </c>
      <c r="G70" s="2" t="s">
        <v>226</v>
      </c>
      <c r="H70">
        <v>0</v>
      </c>
      <c r="I70">
        <v>4</v>
      </c>
      <c r="J70" s="1">
        <f t="shared" si="26"/>
        <v>1</v>
      </c>
      <c r="K70" s="1">
        <f t="shared" si="27"/>
        <v>0</v>
      </c>
      <c r="M70" s="3">
        <f t="array" aca="1" ref="M70" ca="1">IF(OR(CELL("address")=CELL("address",A70),CELL("address")=CELL("address",B70),CELL("address")=CELL("address",C70),CELL("address")=CELL("address",D70),CELL("address")=CELL("address",E70),CELL("address")=CELL("address",F70),CELL("address")=CELL("address",G70),CELL("address")=CELL("address",H70),CELL("address")=CELL("address",I70)),NOW(),M70)</f>
        <v>45794.878587500003</v>
      </c>
    </row>
    <row r="71" spans="1:13" x14ac:dyDescent="0.55000000000000004">
      <c r="A71" s="7" t="s">
        <v>63</v>
      </c>
      <c r="C71" t="s">
        <v>129</v>
      </c>
      <c r="D71" t="s">
        <v>195</v>
      </c>
      <c r="E71" s="7" t="s">
        <v>196</v>
      </c>
      <c r="F71">
        <v>2</v>
      </c>
      <c r="G71" s="2" t="s">
        <v>226</v>
      </c>
      <c r="H71">
        <v>0</v>
      </c>
      <c r="I71">
        <v>2</v>
      </c>
      <c r="J71" s="1">
        <f t="shared" ref="J71" si="28">ROUNDUP(F71/I71,0)</f>
        <v>1</v>
      </c>
      <c r="K71" s="1">
        <f t="shared" ref="K71" si="29">J71*H71</f>
        <v>0</v>
      </c>
      <c r="M71" s="3">
        <f t="array" aca="1" ref="M71" ca="1">IF(OR(CELL("address")=CELL("address",A71),CELL("address")=CELL("address",B71),CELL("address")=CELL("address",C71),CELL("address")=CELL("address",D71),CELL("address")=CELL("address",E71),CELL("address")=CELL("address",F71),CELL("address")=CELL("address",G71),CELL("address")=CELL("address",H71),CELL("address")=CELL("address",I71)),NOW(),M71)</f>
        <v>45794.761007754627</v>
      </c>
    </row>
    <row r="72" spans="1:13" x14ac:dyDescent="0.55000000000000004">
      <c r="A72" s="5" t="s">
        <v>49</v>
      </c>
      <c r="C72" t="s">
        <v>129</v>
      </c>
      <c r="D72" t="s">
        <v>195</v>
      </c>
      <c r="E72" s="5" t="s">
        <v>194</v>
      </c>
      <c r="F72">
        <v>2</v>
      </c>
      <c r="G72" s="2" t="s">
        <v>193</v>
      </c>
      <c r="H72">
        <v>8.39</v>
      </c>
      <c r="I72">
        <v>2</v>
      </c>
      <c r="J72" s="1">
        <f>ROUNDUP(F72/I72,0)</f>
        <v>1</v>
      </c>
      <c r="K72" s="1">
        <f>J72*H72</f>
        <v>8.39</v>
      </c>
      <c r="M72" s="3">
        <f t="array" aca="1" ref="M72" ca="1">IF(OR(CELL("address")=CELL("address",A72),CELL("address")=CELL("address",B72),CELL("address")=CELL("address",C72),CELL("address")=CELL("address",D72),CELL("address")=CELL("address",E72),CELL("address")=CELL("address",F72),CELL("address")=CELL("address",G72),CELL("address")=CELL("address",H72),CELL("address")=CELL("address",I72)),NOW(),M72)</f>
        <v>45661.897263078703</v>
      </c>
    </row>
    <row r="73" spans="1:13" x14ac:dyDescent="0.55000000000000004">
      <c r="A73" s="5" t="s">
        <v>49</v>
      </c>
      <c r="B73" t="s">
        <v>19</v>
      </c>
      <c r="C73" t="s">
        <v>129</v>
      </c>
      <c r="D73" t="s">
        <v>195</v>
      </c>
      <c r="E73" s="5" t="s">
        <v>118</v>
      </c>
      <c r="F73">
        <v>2</v>
      </c>
      <c r="G73" s="2" t="s">
        <v>117</v>
      </c>
      <c r="H73">
        <v>18.989999999999998</v>
      </c>
      <c r="I73">
        <v>1</v>
      </c>
      <c r="J73" s="1">
        <f t="shared" si="26"/>
        <v>2</v>
      </c>
      <c r="K73" s="1">
        <f t="shared" si="27"/>
        <v>37.979999999999997</v>
      </c>
      <c r="M73" s="3">
        <f t="array" aca="1" ref="M73" ca="1">IF(OR(CELL("address")=CELL("address",A73),CELL("address")=CELL("address",B73),CELL("address")=CELL("address",C73),CELL("address")=CELL("address",D73),CELL("address")=CELL("address",E73),CELL("address")=CELL("address",F73),CELL("address")=CELL("address",G73),CELL("address")=CELL("address",H73),CELL("address")=CELL("address",I73)),NOW(),M73)</f>
        <v>45795.005495370373</v>
      </c>
    </row>
    <row r="74" spans="1:13" x14ac:dyDescent="0.55000000000000004">
      <c r="A74" s="5" t="s">
        <v>49</v>
      </c>
      <c r="C74" t="s">
        <v>129</v>
      </c>
      <c r="D74" t="s">
        <v>258</v>
      </c>
      <c r="E74" s="5" t="s">
        <v>276</v>
      </c>
      <c r="F74">
        <v>100</v>
      </c>
      <c r="G74" s="2" t="s">
        <v>275</v>
      </c>
      <c r="H74">
        <v>5.59</v>
      </c>
      <c r="I74">
        <v>100</v>
      </c>
      <c r="J74" s="1">
        <f>ROUNDUP(F74/I74,0)</f>
        <v>1</v>
      </c>
      <c r="K74" s="1">
        <f>J74*H74</f>
        <v>5.59</v>
      </c>
      <c r="M74" s="3">
        <f t="array" aca="1" ref="M74" ca="1">IF(OR(CELL("address")=CELL("address",A74),CELL("address")=CELL("address",B74),CELL("address")=CELL("address",C74),CELL("address")=CELL("address",D74),CELL("address")=CELL("address",E74),CELL("address")=CELL("address",F74),CELL("address")=CELL("address",G74),CELL("address")=CELL("address",H74),CELL("address")=CELL("address",I74)),NOW(),M74)</f>
        <v>45794.759724768519</v>
      </c>
    </row>
    <row r="75" spans="1:13" x14ac:dyDescent="0.55000000000000004">
      <c r="A75" s="5" t="s">
        <v>49</v>
      </c>
      <c r="C75" t="s">
        <v>250</v>
      </c>
      <c r="D75" t="s">
        <v>258</v>
      </c>
      <c r="E75" s="5" t="s">
        <v>207</v>
      </c>
      <c r="F75">
        <v>16</v>
      </c>
      <c r="G75" s="2" t="s">
        <v>224</v>
      </c>
      <c r="H75">
        <v>9.99</v>
      </c>
      <c r="I75">
        <v>4</v>
      </c>
      <c r="J75" s="1">
        <f t="shared" ref="J75:J77" si="30">ROUNDUP(F75/I75,0)</f>
        <v>4</v>
      </c>
      <c r="K75" s="1">
        <f t="shared" ref="K75:K77" si="31">J75*H75</f>
        <v>39.96</v>
      </c>
      <c r="M75" s="3">
        <f t="array" aca="1" ref="M75" ca="1">IF(OR(CELL("address")=CELL("address",A75),CELL("address")=CELL("address",B75),CELL("address")=CELL("address",C75),CELL("address")=CELL("address",D75),CELL("address")=CELL("address",E75),CELL("address")=CELL("address",F75),CELL("address")=CELL("address",G75),CELL("address")=CELL("address",H75),CELL("address")=CELL("address",I75)),NOW(),M75)</f>
        <v>45794.941684722224</v>
      </c>
    </row>
    <row r="76" spans="1:13" x14ac:dyDescent="0.55000000000000004">
      <c r="A76" s="5" t="s">
        <v>49</v>
      </c>
      <c r="C76" t="s">
        <v>250</v>
      </c>
      <c r="D76" t="s">
        <v>258</v>
      </c>
      <c r="E76" s="5" t="s">
        <v>209</v>
      </c>
      <c r="F76">
        <v>16</v>
      </c>
      <c r="G76" s="2" t="s">
        <v>208</v>
      </c>
      <c r="H76">
        <v>6.85</v>
      </c>
      <c r="I76">
        <v>50</v>
      </c>
      <c r="J76" s="1">
        <f t="shared" si="30"/>
        <v>1</v>
      </c>
      <c r="K76" s="1">
        <f t="shared" si="31"/>
        <v>6.85</v>
      </c>
      <c r="M76" s="3">
        <f t="array" aca="1" ref="M76" ca="1">IF(OR(CELL("address")=CELL("address",A76),CELL("address")=CELL("address",B76),CELL("address")=CELL("address",C76),CELL("address")=CELL("address",D76),CELL("address")=CELL("address",E76),CELL("address")=CELL("address",F76),CELL("address")=CELL("address",G76),CELL("address")=CELL("address",H76),CELL("address")=CELL("address",I76)),NOW(),M76)</f>
        <v>45794.900951041665</v>
      </c>
    </row>
    <row r="77" spans="1:13" x14ac:dyDescent="0.55000000000000004">
      <c r="A77" s="5" t="s">
        <v>49</v>
      </c>
      <c r="C77" t="s">
        <v>250</v>
      </c>
      <c r="D77" t="s">
        <v>258</v>
      </c>
      <c r="E77" s="5" t="s">
        <v>210</v>
      </c>
      <c r="F77">
        <v>8</v>
      </c>
      <c r="G77" s="2" t="s">
        <v>225</v>
      </c>
      <c r="H77">
        <v>31.18</v>
      </c>
      <c r="I77">
        <v>10</v>
      </c>
      <c r="J77" s="1">
        <f t="shared" si="30"/>
        <v>1</v>
      </c>
      <c r="K77" s="1">
        <f t="shared" si="31"/>
        <v>31.18</v>
      </c>
      <c r="M77" s="3">
        <f t="array" aca="1" ref="M77" ca="1">IF(OR(CELL("address")=CELL("address",A77),CELL("address")=CELL("address",B77),CELL("address")=CELL("address",C77),CELL("address")=CELL("address",D77),CELL("address")=CELL("address",E77),CELL("address")=CELL("address",F77),CELL("address")=CELL("address",G77),CELL("address")=CELL("address",H77),CELL("address")=CELL("address",I77)),NOW(),M77)</f>
        <v>45794.879682870371</v>
      </c>
    </row>
    <row r="78" spans="1:13" x14ac:dyDescent="0.55000000000000004">
      <c r="A78" s="5" t="s">
        <v>49</v>
      </c>
      <c r="C78" t="s">
        <v>250</v>
      </c>
      <c r="D78" t="s">
        <v>272</v>
      </c>
      <c r="E78" s="5" t="s">
        <v>296</v>
      </c>
      <c r="F78">
        <v>1</v>
      </c>
      <c r="G78" s="2" t="s">
        <v>295</v>
      </c>
      <c r="H78">
        <v>6.99</v>
      </c>
      <c r="I78">
        <v>8</v>
      </c>
      <c r="J78" s="1">
        <f t="shared" ref="J78:J83" si="32">ROUNDUP(F78/I78,0)</f>
        <v>1</v>
      </c>
      <c r="K78" s="1">
        <f t="shared" ref="K78:K83" si="33">J78*H78</f>
        <v>6.99</v>
      </c>
      <c r="M78" s="3">
        <f t="array" aca="1" ref="M78" ca="1">IF(OR(CELL("address")=CELL("address",A78),CELL("address")=CELL("address",B78),CELL("address")=CELL("address",C78),CELL("address")=CELL("address",D78),CELL("address")=CELL("address",E78),CELL("address")=CELL("address",F78),CELL("address")=CELL("address",G78),CELL("address")=CELL("address",H78),CELL("address")=CELL("address",I78)),NOW(),M78)</f>
        <v>45795.000866319446</v>
      </c>
    </row>
    <row r="79" spans="1:13" x14ac:dyDescent="0.55000000000000004">
      <c r="A79" s="5" t="s">
        <v>49</v>
      </c>
      <c r="C79" t="s">
        <v>250</v>
      </c>
      <c r="D79" t="s">
        <v>272</v>
      </c>
      <c r="E79" s="5" t="s">
        <v>274</v>
      </c>
      <c r="F79">
        <v>4</v>
      </c>
      <c r="G79" s="2" t="s">
        <v>273</v>
      </c>
      <c r="H79">
        <v>8.49</v>
      </c>
      <c r="I79">
        <v>2</v>
      </c>
      <c r="J79" s="1">
        <f t="shared" si="32"/>
        <v>2</v>
      </c>
      <c r="K79" s="1">
        <f t="shared" si="33"/>
        <v>16.98</v>
      </c>
      <c r="M79" s="3">
        <f t="array" aca="1" ref="M79" ca="1">IF(OR(CELL("address")=CELL("address",A79),CELL("address")=CELL("address",B79),CELL("address")=CELL("address",C79),CELL("address")=CELL("address",D79),CELL("address")=CELL("address",E79),CELL("address")=CELL("address",F79),CELL("address")=CELL("address",G79),CELL("address")=CELL("address",H79),CELL("address")=CELL("address",I79)),NOW(),M79)</f>
        <v>45794.934243055555</v>
      </c>
    </row>
    <row r="80" spans="1:13" x14ac:dyDescent="0.55000000000000004">
      <c r="A80" s="5" t="s">
        <v>49</v>
      </c>
      <c r="C80" t="s">
        <v>250</v>
      </c>
      <c r="D80" t="s">
        <v>272</v>
      </c>
      <c r="E80" s="5" t="s">
        <v>270</v>
      </c>
      <c r="F80">
        <v>1</v>
      </c>
      <c r="G80" s="2" t="s">
        <v>271</v>
      </c>
      <c r="H80">
        <v>13.99</v>
      </c>
      <c r="I80">
        <v>1</v>
      </c>
      <c r="J80" s="1">
        <f t="shared" si="32"/>
        <v>1</v>
      </c>
      <c r="K80" s="1">
        <f t="shared" si="33"/>
        <v>13.99</v>
      </c>
      <c r="M80" s="3">
        <f t="array" aca="1" ref="M80" ca="1">IF(OR(CELL("address")=CELL("address",A80),CELL("address")=CELL("address",B80),CELL("address")=CELL("address",C80),CELL("address")=CELL("address",D80),CELL("address")=CELL("address",E80),CELL("address")=CELL("address",F80),CELL("address")=CELL("address",G80),CELL("address")=CELL("address",H80),CELL("address")=CELL("address",I80)),NOW(),M80)</f>
        <v>45794.934243055555</v>
      </c>
    </row>
    <row r="81" spans="1:13" x14ac:dyDescent="0.55000000000000004">
      <c r="A81" s="5" t="s">
        <v>49</v>
      </c>
      <c r="C81" t="s">
        <v>250</v>
      </c>
      <c r="D81" t="s">
        <v>272</v>
      </c>
      <c r="E81" s="5" t="s">
        <v>269</v>
      </c>
      <c r="F81">
        <v>1</v>
      </c>
      <c r="G81" s="2" t="s">
        <v>268</v>
      </c>
      <c r="H81">
        <v>26.99</v>
      </c>
      <c r="I81">
        <v>100</v>
      </c>
      <c r="J81" s="1">
        <f t="shared" si="32"/>
        <v>1</v>
      </c>
      <c r="K81" s="1">
        <f t="shared" si="33"/>
        <v>26.99</v>
      </c>
      <c r="M81" s="3">
        <f t="array" aca="1" ref="M81" ca="1">IF(OR(CELL("address")=CELL("address",A81),CELL("address")=CELL("address",B81),CELL("address")=CELL("address",C81),CELL("address")=CELL("address",D81),CELL("address")=CELL("address",E81),CELL("address")=CELL("address",F81),CELL("address")=CELL("address",G81),CELL("address")=CELL("address",H81),CELL("address")=CELL("address",I81)),NOW(),M81)</f>
        <v>45794.934243055555</v>
      </c>
    </row>
    <row r="82" spans="1:13" x14ac:dyDescent="0.55000000000000004">
      <c r="A82" s="5" t="s">
        <v>49</v>
      </c>
      <c r="C82" t="s">
        <v>250</v>
      </c>
      <c r="D82" t="s">
        <v>282</v>
      </c>
      <c r="E82" s="5" t="s">
        <v>294</v>
      </c>
      <c r="F82">
        <v>1</v>
      </c>
      <c r="G82" s="2" t="s">
        <v>293</v>
      </c>
      <c r="H82">
        <v>28.9</v>
      </c>
      <c r="I82">
        <v>1</v>
      </c>
      <c r="J82" s="1">
        <f t="shared" si="32"/>
        <v>1</v>
      </c>
      <c r="K82" s="1">
        <f t="shared" si="33"/>
        <v>28.9</v>
      </c>
      <c r="M82" s="3">
        <f t="array" aca="1" ref="M82" ca="1">IF(OR(CELL("address")=CELL("address",A82),CELL("address")=CELL("address",B82),CELL("address")=CELL("address",C82),CELL("address")=CELL("address",D82),CELL("address")=CELL("address",E82),CELL("address")=CELL("address",F82),CELL("address")=CELL("address",G82),CELL("address")=CELL("address",H82),CELL("address")=CELL("address",I82)),NOW(),M82)</f>
        <v>45794.998487847224</v>
      </c>
    </row>
    <row r="83" spans="1:13" x14ac:dyDescent="0.55000000000000004">
      <c r="A83" s="5" t="s">
        <v>49</v>
      </c>
      <c r="C83" t="s">
        <v>250</v>
      </c>
      <c r="D83" t="s">
        <v>297</v>
      </c>
      <c r="E83" s="5" t="s">
        <v>298</v>
      </c>
      <c r="F83">
        <v>1</v>
      </c>
      <c r="G83" s="2" t="s">
        <v>301</v>
      </c>
      <c r="H83">
        <v>40</v>
      </c>
      <c r="I83">
        <v>1</v>
      </c>
      <c r="J83" s="1">
        <f t="shared" si="32"/>
        <v>1</v>
      </c>
      <c r="K83" s="1">
        <f t="shared" si="33"/>
        <v>40</v>
      </c>
      <c r="M83" s="3">
        <f t="array" aca="1" ref="M83" ca="1">IF(OR(CELL("address")=CELL("address",A83),CELL("address")=CELL("address",B83),CELL("address")=CELL("address",C83),CELL("address")=CELL("address",D83),CELL("address")=CELL("address",E83),CELL("address")=CELL("address",F83),CELL("address")=CELL("address",G83),CELL("address")=CELL("address",H83),CELL("address")=CELL("address",I83)),NOW(),M83)</f>
        <v>45794.998487847224</v>
      </c>
    </row>
    <row r="84" spans="1:13" x14ac:dyDescent="0.55000000000000004">
      <c r="A84" s="5" t="s">
        <v>49</v>
      </c>
      <c r="C84" t="s">
        <v>250</v>
      </c>
      <c r="D84" t="s">
        <v>297</v>
      </c>
      <c r="E84" s="5" t="s">
        <v>299</v>
      </c>
      <c r="F84">
        <v>5</v>
      </c>
      <c r="G84" s="2" t="s">
        <v>300</v>
      </c>
      <c r="H84">
        <v>22</v>
      </c>
      <c r="I84">
        <v>1</v>
      </c>
      <c r="J84" s="1">
        <f t="shared" ref="J84" si="34">ROUNDUP(F84/I84,0)</f>
        <v>5</v>
      </c>
      <c r="K84" s="1">
        <f t="shared" ref="K84" si="35">J84*H84</f>
        <v>110</v>
      </c>
      <c r="M84" s="3">
        <f t="array" aca="1" ref="M84" ca="1">IF(OR(CELL("address")=CELL("address",A84),CELL("address")=CELL("address",B84),CELL("address")=CELL("address",C84),CELL("address")=CELL("address",D84),CELL("address")=CELL("address",E84),CELL("address")=CELL("address",F84),CELL("address")=CELL("address",G84),CELL("address")=CELL("address",H84),CELL("address")=CELL("address",I84)),NOW(),M84)</f>
        <v>45794.998487847224</v>
      </c>
    </row>
    <row r="85" spans="1:13" x14ac:dyDescent="0.55000000000000004">
      <c r="A85" s="5" t="s">
        <v>49</v>
      </c>
      <c r="B85" t="s">
        <v>19</v>
      </c>
      <c r="C85" t="s">
        <v>85</v>
      </c>
      <c r="E85" s="5" t="s">
        <v>28</v>
      </c>
      <c r="F85">
        <v>1</v>
      </c>
      <c r="G85" s="2" t="s">
        <v>29</v>
      </c>
      <c r="H85">
        <v>12.99</v>
      </c>
      <c r="I85">
        <v>5</v>
      </c>
      <c r="J85" s="1">
        <f t="shared" ref="J85" si="36">ROUNDUP(F85/I85,0)</f>
        <v>1</v>
      </c>
      <c r="K85" s="1">
        <f t="shared" ref="K85" si="37">J85*H85</f>
        <v>12.99</v>
      </c>
      <c r="L85" t="s">
        <v>183</v>
      </c>
      <c r="M85" s="3">
        <f t="array" aca="1" ref="M85" ca="1">IF(OR(CELL("address")=CELL("address",A85),CELL("address")=CELL("address",B85),CELL("address")=CELL("address",C85),CELL("address")=CELL("address",D85),CELL("address")=CELL("address",E85),CELL("address")=CELL("address",F85),CELL("address")=CELL("address",G85),CELL("address")=CELL("address",H85),CELL("address")=CELL("address",I85)),NOW(),M85)</f>
        <v>45795.012799074073</v>
      </c>
    </row>
    <row r="86" spans="1:13" x14ac:dyDescent="0.55000000000000004">
      <c r="A86" s="5" t="s">
        <v>49</v>
      </c>
      <c r="B86" t="s">
        <v>19</v>
      </c>
      <c r="C86" t="s">
        <v>85</v>
      </c>
      <c r="E86" s="5" t="s">
        <v>122</v>
      </c>
      <c r="F86">
        <v>1</v>
      </c>
      <c r="G86" s="2" t="s">
        <v>123</v>
      </c>
      <c r="H86">
        <v>9.99</v>
      </c>
      <c r="I86">
        <v>1</v>
      </c>
      <c r="J86" s="1">
        <f t="shared" si="26"/>
        <v>1</v>
      </c>
      <c r="K86" s="1">
        <f t="shared" si="27"/>
        <v>9.99</v>
      </c>
      <c r="M86" s="3">
        <f t="array" aca="1" ref="M86" ca="1">IF(OR(CELL("address")=CELL("address",A86),CELL("address")=CELL("address",B86),CELL("address")=CELL("address",C86),CELL("address")=CELL("address",D86),CELL("address")=CELL("address",E86),CELL("address")=CELL("address",F86),CELL("address")=CELL("address",G86),CELL("address")=CELL("address",H86),CELL("address")=CELL("address",I86)),NOW(),M86)</f>
        <v>45795.005366666664</v>
      </c>
    </row>
    <row r="87" spans="1:13" x14ac:dyDescent="0.55000000000000004">
      <c r="A87" s="5" t="s">
        <v>49</v>
      </c>
      <c r="B87" t="s">
        <v>19</v>
      </c>
      <c r="C87" t="s">
        <v>85</v>
      </c>
      <c r="E87" s="5" t="s">
        <v>84</v>
      </c>
      <c r="F87">
        <v>1</v>
      </c>
      <c r="G87" s="2" t="s">
        <v>83</v>
      </c>
      <c r="H87">
        <v>16.989999999999998</v>
      </c>
      <c r="I87">
        <v>1</v>
      </c>
      <c r="J87" s="1">
        <f t="shared" si="26"/>
        <v>1</v>
      </c>
      <c r="K87" s="1">
        <f t="shared" si="27"/>
        <v>16.989999999999998</v>
      </c>
      <c r="M87" s="3">
        <f t="array" aca="1" ref="M87" ca="1">IF(OR(CELL("address")=CELL("address",A87),CELL("address")=CELL("address",B87),CELL("address")=CELL("address",C87),CELL("address")=CELL("address",D87),CELL("address")=CELL("address",E87),CELL("address")=CELL("address",F87),CELL("address")=CELL("address",G87),CELL("address")=CELL("address",H87),CELL("address")=CELL("address",I87)),NOW(),M87)</f>
        <v>45794.895426273149</v>
      </c>
    </row>
    <row r="88" spans="1:13" x14ac:dyDescent="0.55000000000000004">
      <c r="A88" s="5" t="s">
        <v>49</v>
      </c>
      <c r="B88" t="s">
        <v>19</v>
      </c>
      <c r="C88" t="s">
        <v>85</v>
      </c>
      <c r="E88" s="5" t="s">
        <v>125</v>
      </c>
      <c r="F88">
        <v>1</v>
      </c>
      <c r="G88" s="2" t="s">
        <v>139</v>
      </c>
      <c r="H88">
        <v>36.950000000000003</v>
      </c>
      <c r="I88">
        <v>1</v>
      </c>
      <c r="J88" s="1">
        <f t="shared" si="26"/>
        <v>1</v>
      </c>
      <c r="K88" s="1">
        <f t="shared" si="27"/>
        <v>36.950000000000003</v>
      </c>
      <c r="M88" s="3">
        <f t="array" aca="1" ref="M88" ca="1">IF(OR(CELL("address")=CELL("address",A88),CELL("address")=CELL("address",B88),CELL("address")=CELL("address",C88),CELL("address")=CELL("address",D88),CELL("address")=CELL("address",E88),CELL("address")=CELL("address",F88),CELL("address")=CELL("address",G88),CELL("address")=CELL("address",H88),CELL("address")=CELL("address",I88)),NOW(),M88)</f>
        <v>45795.005954282409</v>
      </c>
    </row>
    <row r="89" spans="1:13" x14ac:dyDescent="0.55000000000000004">
      <c r="A89" s="5" t="s">
        <v>49</v>
      </c>
      <c r="B89" t="s">
        <v>19</v>
      </c>
      <c r="C89" t="s">
        <v>85</v>
      </c>
      <c r="E89" s="5" t="s">
        <v>230</v>
      </c>
      <c r="F89">
        <v>1</v>
      </c>
      <c r="G89" s="2" t="s">
        <v>228</v>
      </c>
      <c r="H89">
        <v>13.99</v>
      </c>
      <c r="I89">
        <v>1</v>
      </c>
      <c r="J89" s="1">
        <f t="shared" si="26"/>
        <v>1</v>
      </c>
      <c r="K89" s="1">
        <f t="shared" si="27"/>
        <v>13.99</v>
      </c>
      <c r="M89" s="3">
        <f t="array" aca="1" ref="M89" ca="1">IF(OR(CELL("address")=CELL("address",A89),CELL("address")=CELL("address",B89),CELL("address")=CELL("address",C89),CELL("address")=CELL("address",D89),CELL("address")=CELL("address",E89),CELL("address")=CELL("address",F89),CELL("address")=CELL("address",G89),CELL("address")=CELL("address",H89),CELL("address")=CELL("address",I89)),NOW(),M89)</f>
        <v>45794.88801412037</v>
      </c>
    </row>
    <row r="90" spans="1:13" x14ac:dyDescent="0.55000000000000004">
      <c r="A90" s="5" t="s">
        <v>49</v>
      </c>
      <c r="B90" t="s">
        <v>19</v>
      </c>
      <c r="C90" t="s">
        <v>85</v>
      </c>
      <c r="E90" s="5" t="s">
        <v>231</v>
      </c>
      <c r="F90">
        <v>1</v>
      </c>
      <c r="G90" s="2" t="s">
        <v>229</v>
      </c>
      <c r="H90">
        <v>7.99</v>
      </c>
      <c r="I90">
        <v>1</v>
      </c>
      <c r="J90" s="1">
        <f t="shared" si="26"/>
        <v>1</v>
      </c>
      <c r="K90" s="1">
        <f t="shared" si="27"/>
        <v>7.99</v>
      </c>
      <c r="M90" s="3">
        <f t="array" aca="1" ref="M90" ca="1">IF(OR(CELL("address")=CELL("address",A90),CELL("address")=CELL("address",B90),CELL("address")=CELL("address",C90),CELL("address")=CELL("address",D90),CELL("address")=CELL("address",E90),CELL("address")=CELL("address",F90),CELL("address")=CELL("address",G90),CELL("address")=CELL("address",H90),CELL("address")=CELL("address",I90)),NOW(),M90)</f>
        <v>45794.88801412037</v>
      </c>
    </row>
    <row r="91" spans="1:13" x14ac:dyDescent="0.55000000000000004">
      <c r="A91" s="5" t="s">
        <v>49</v>
      </c>
      <c r="B91" t="s">
        <v>19</v>
      </c>
      <c r="C91" t="s">
        <v>85</v>
      </c>
      <c r="E91" s="5" t="s">
        <v>233</v>
      </c>
      <c r="F91">
        <v>1</v>
      </c>
      <c r="G91" s="2" t="s">
        <v>232</v>
      </c>
      <c r="H91">
        <v>9.99</v>
      </c>
      <c r="I91">
        <v>1</v>
      </c>
      <c r="J91" s="1">
        <f t="shared" si="26"/>
        <v>1</v>
      </c>
      <c r="K91" s="1">
        <f t="shared" si="27"/>
        <v>9.99</v>
      </c>
      <c r="M91" s="3">
        <f t="array" aca="1" ref="M91" ca="1">IF(OR(CELL("address")=CELL("address",A91),CELL("address")=CELL("address",B91),CELL("address")=CELL("address",C91),CELL("address")=CELL("address",D91),CELL("address")=CELL("address",E91),CELL("address")=CELL("address",F91),CELL("address")=CELL("address",G91),CELL("address")=CELL("address",H91),CELL("address")=CELL("address",I91)),NOW(),M91)</f>
        <v>45794.88801412037</v>
      </c>
    </row>
    <row r="92" spans="1:13" x14ac:dyDescent="0.55000000000000004">
      <c r="A92" s="5" t="s">
        <v>49</v>
      </c>
      <c r="B92" t="s">
        <v>19</v>
      </c>
      <c r="C92" t="s">
        <v>85</v>
      </c>
      <c r="E92" s="5" t="s">
        <v>235</v>
      </c>
      <c r="F92">
        <v>1</v>
      </c>
      <c r="G92" s="2" t="s">
        <v>234</v>
      </c>
      <c r="H92">
        <v>4.99</v>
      </c>
      <c r="I92">
        <v>1</v>
      </c>
      <c r="J92" s="1">
        <f t="shared" si="26"/>
        <v>1</v>
      </c>
      <c r="K92" s="1">
        <f t="shared" si="27"/>
        <v>4.99</v>
      </c>
      <c r="M92" s="3">
        <f t="array" aca="1" ref="M92" ca="1">IF(OR(CELL("address")=CELL("address",A92),CELL("address")=CELL("address",B92),CELL("address")=CELL("address",C92),CELL("address")=CELL("address",D92),CELL("address")=CELL("address",E92),CELL("address")=CELL("address",F92),CELL("address")=CELL("address",G92),CELL("address")=CELL("address",H92),CELL("address")=CELL("address",I92)),NOW(),M92)</f>
        <v>45794.88801412037</v>
      </c>
    </row>
    <row r="93" spans="1:13" x14ac:dyDescent="0.55000000000000004">
      <c r="A93" s="5" t="s">
        <v>49</v>
      </c>
      <c r="C93" t="s">
        <v>85</v>
      </c>
      <c r="E93" s="5" t="s">
        <v>237</v>
      </c>
      <c r="F93">
        <v>1</v>
      </c>
      <c r="G93" s="2" t="s">
        <v>236</v>
      </c>
      <c r="H93">
        <v>18.98</v>
      </c>
      <c r="I93">
        <v>1</v>
      </c>
      <c r="J93" s="1">
        <f t="shared" si="26"/>
        <v>1</v>
      </c>
      <c r="K93" s="1">
        <f t="shared" si="27"/>
        <v>18.98</v>
      </c>
      <c r="M93" s="3">
        <f t="array" aca="1" ref="M93" ca="1">IF(OR(CELL("address")=CELL("address",A93),CELL("address")=CELL("address",B93),CELL("address")=CELL("address",C93),CELL("address")=CELL("address",D93),CELL("address")=CELL("address",E93),CELL("address")=CELL("address",F93),CELL("address")=CELL("address",G93),CELL("address")=CELL("address",H93),CELL("address")=CELL("address",I93)),NOW(),M93)</f>
        <v>45795.013092476853</v>
      </c>
    </row>
    <row r="94" spans="1:13" x14ac:dyDescent="0.55000000000000004">
      <c r="A94" s="5" t="s">
        <v>49</v>
      </c>
      <c r="B94" t="s">
        <v>19</v>
      </c>
      <c r="C94" t="s">
        <v>85</v>
      </c>
      <c r="E94" s="5" t="s">
        <v>239</v>
      </c>
      <c r="F94">
        <v>1</v>
      </c>
      <c r="G94" s="2" t="s">
        <v>238</v>
      </c>
      <c r="H94">
        <v>9.99</v>
      </c>
      <c r="I94">
        <v>1</v>
      </c>
      <c r="J94" s="1">
        <f t="shared" si="26"/>
        <v>1</v>
      </c>
      <c r="K94" s="1">
        <f t="shared" si="27"/>
        <v>9.99</v>
      </c>
      <c r="M94" s="3">
        <f t="array" aca="1" ref="M94" ca="1">IF(OR(CELL("address")=CELL("address",A94),CELL("address")=CELL("address",B94),CELL("address")=CELL("address",C94),CELL("address")=CELL("address",D94),CELL("address")=CELL("address",E94),CELL("address")=CELL("address",F94),CELL("address")=CELL("address",G94),CELL("address")=CELL("address",H94),CELL("address")=CELL("address",I94)),NOW(),M94)</f>
        <v>45794.88801412037</v>
      </c>
    </row>
    <row r="95" spans="1:13" x14ac:dyDescent="0.55000000000000004">
      <c r="A95" s="5" t="s">
        <v>49</v>
      </c>
      <c r="C95" t="s">
        <v>85</v>
      </c>
      <c r="E95" s="5" t="s">
        <v>241</v>
      </c>
      <c r="F95">
        <v>1</v>
      </c>
      <c r="G95" s="2" t="s">
        <v>240</v>
      </c>
      <c r="H95">
        <v>9.2899999999999991</v>
      </c>
      <c r="I95">
        <v>1</v>
      </c>
      <c r="J95" s="1">
        <f t="shared" si="26"/>
        <v>1</v>
      </c>
      <c r="K95" s="1">
        <f t="shared" si="27"/>
        <v>9.2899999999999991</v>
      </c>
      <c r="M95" s="3">
        <f t="array" aca="1" ref="M95" ca="1">IF(OR(CELL("address")=CELL("address",A95),CELL("address")=CELL("address",B95),CELL("address")=CELL("address",C95),CELL("address")=CELL("address",D95),CELL("address")=CELL("address",E95),CELL("address")=CELL("address",F95),CELL("address")=CELL("address",G95),CELL("address")=CELL("address",H95),CELL("address")=CELL("address",I95)),NOW(),M95)</f>
        <v>45795.013152777778</v>
      </c>
    </row>
    <row r="96" spans="1:13" x14ac:dyDescent="0.55000000000000004">
      <c r="A96" s="5" t="s">
        <v>49</v>
      </c>
      <c r="B96" t="s">
        <v>19</v>
      </c>
      <c r="C96" t="s">
        <v>85</v>
      </c>
      <c r="E96" s="5" t="s">
        <v>243</v>
      </c>
      <c r="F96">
        <v>1</v>
      </c>
      <c r="G96" s="2" t="s">
        <v>242</v>
      </c>
      <c r="H96">
        <v>15.99</v>
      </c>
      <c r="I96">
        <v>1</v>
      </c>
      <c r="J96" s="1">
        <f t="shared" si="26"/>
        <v>1</v>
      </c>
      <c r="K96" s="1">
        <f t="shared" si="27"/>
        <v>15.99</v>
      </c>
      <c r="M96" s="3">
        <f t="array" aca="1" ref="M96" ca="1">IF(OR(CELL("address")=CELL("address",A96),CELL("address")=CELL("address",B96),CELL("address")=CELL("address",C96),CELL("address")=CELL("address",D96),CELL("address")=CELL("address",E96),CELL("address")=CELL("address",F96),CELL("address")=CELL("address",G96),CELL("address")=CELL("address",H96),CELL("address")=CELL("address",I96)),NOW(),M96)</f>
        <v>45794.996764120369</v>
      </c>
    </row>
    <row r="97" spans="1:13" x14ac:dyDescent="0.55000000000000004">
      <c r="A97" s="5" t="s">
        <v>49</v>
      </c>
      <c r="B97" t="s">
        <v>19</v>
      </c>
      <c r="C97" t="s">
        <v>85</v>
      </c>
      <c r="E97" s="5" t="s">
        <v>311</v>
      </c>
      <c r="F97">
        <v>1</v>
      </c>
      <c r="G97" s="2" t="s">
        <v>307</v>
      </c>
      <c r="H97">
        <v>7.49</v>
      </c>
      <c r="I97">
        <v>1</v>
      </c>
      <c r="J97" s="1">
        <f>ROUNDUP(F97/I97,0)</f>
        <v>1</v>
      </c>
      <c r="K97" s="1">
        <f>J97*H97</f>
        <v>7.49</v>
      </c>
      <c r="M97" s="3">
        <f t="array" aca="1" ref="M97" ca="1">IF(OR(CELL("address")=CELL("address",A97),CELL("address")=CELL("address",B97),CELL("address")=CELL("address",C97),CELL("address")=CELL("address",D97),CELL("address")=CELL("address",E97),CELL("address")=CELL("address",F97),CELL("address")=CELL("address",G97),CELL("address")=CELL("address",H97),CELL("address")=CELL("address",I97)),NOW(),M97)</f>
        <v>45798.956146180557</v>
      </c>
    </row>
    <row r="98" spans="1:13" x14ac:dyDescent="0.55000000000000004">
      <c r="A98" s="5" t="s">
        <v>49</v>
      </c>
      <c r="B98" t="s">
        <v>19</v>
      </c>
      <c r="C98" t="s">
        <v>85</v>
      </c>
      <c r="D98" t="s">
        <v>279</v>
      </c>
      <c r="E98" s="5" t="s">
        <v>278</v>
      </c>
      <c r="F98">
        <v>4</v>
      </c>
      <c r="G98" s="2" t="s">
        <v>277</v>
      </c>
      <c r="H98">
        <v>6.99</v>
      </c>
      <c r="I98">
        <v>20</v>
      </c>
      <c r="J98" s="1">
        <f>ROUNDUP(F98/I98,0)</f>
        <v>1</v>
      </c>
      <c r="K98" s="1">
        <f>J98*H98</f>
        <v>6.99</v>
      </c>
      <c r="M98" s="3">
        <f t="array" aca="1" ref="M98" ca="1">IF(OR(CELL("address")=CELL("address",A98),CELL("address")=CELL("address",B98),CELL("address")=CELL("address",C98),CELL("address")=CELL("address",D98),CELL("address")=CELL("address",E98),CELL("address")=CELL("address",F98),CELL("address")=CELL("address",G98),CELL("address")=CELL("address",H98),CELL("address")=CELL("address",I98)),NOW(),M98)</f>
        <v>45794.88801412037</v>
      </c>
    </row>
    <row r="99" spans="1:13" x14ac:dyDescent="0.55000000000000004">
      <c r="A99" s="5" t="s">
        <v>49</v>
      </c>
      <c r="B99" t="s">
        <v>19</v>
      </c>
      <c r="C99" t="s">
        <v>85</v>
      </c>
      <c r="D99" t="s">
        <v>279</v>
      </c>
      <c r="E99" s="5" t="s">
        <v>199</v>
      </c>
      <c r="F99">
        <v>1</v>
      </c>
      <c r="G99" s="2" t="s">
        <v>134</v>
      </c>
      <c r="H99">
        <v>18</v>
      </c>
      <c r="I99">
        <v>1</v>
      </c>
      <c r="J99" s="1">
        <f>ROUNDUP(F99/I99,0)</f>
        <v>1</v>
      </c>
      <c r="K99" s="1">
        <f>J99*H99</f>
        <v>18</v>
      </c>
      <c r="L99" t="s">
        <v>281</v>
      </c>
      <c r="M99" s="3">
        <f t="array" aca="1" ref="M99" ca="1">IF(OR(CELL("address")=CELL("address",A99),CELL("address")=CELL("address",B99),CELL("address")=CELL("address",C99),CELL("address")=CELL("address",D99),CELL("address")=CELL("address",E99),CELL("address")=CELL("address",F99),CELL("address")=CELL("address",G99),CELL("address")=CELL("address",H99),CELL("address")=CELL("address",I99)),NOW(),M99)</f>
        <v>45795.004241550923</v>
      </c>
    </row>
    <row r="100" spans="1:13" x14ac:dyDescent="0.55000000000000004">
      <c r="A100" s="5" t="s">
        <v>49</v>
      </c>
      <c r="B100" t="s">
        <v>19</v>
      </c>
      <c r="C100" t="s">
        <v>85</v>
      </c>
      <c r="D100" t="s">
        <v>257</v>
      </c>
      <c r="E100" s="5" t="s">
        <v>256</v>
      </c>
      <c r="F100">
        <v>1</v>
      </c>
      <c r="G100" s="2" t="s">
        <v>255</v>
      </c>
      <c r="H100">
        <v>8.99</v>
      </c>
      <c r="I100">
        <v>1</v>
      </c>
      <c r="J100" s="1">
        <f t="shared" ref="J100:J104" si="38">ROUNDUP(F100/I100,0)</f>
        <v>1</v>
      </c>
      <c r="K100" s="1">
        <f t="shared" ref="K100:K104" si="39">J100*H100</f>
        <v>8.99</v>
      </c>
      <c r="M100" s="3">
        <f t="array" aca="1" ref="M100" ca="1">IF(OR(CELL("address")=CELL("address",A100),CELL("address")=CELL("address",B100),CELL("address")=CELL("address",C100),CELL("address")=CELL("address",D100),CELL("address")=CELL("address",E100),CELL("address")=CELL("address",F100),CELL("address")=CELL("address",G100),CELL("address")=CELL("address",H100),CELL("address")=CELL("address",I100)),NOW(),M100)</f>
        <v>45795.004385532404</v>
      </c>
    </row>
    <row r="101" spans="1:13" x14ac:dyDescent="0.55000000000000004">
      <c r="A101" s="5" t="s">
        <v>49</v>
      </c>
      <c r="B101" t="s">
        <v>19</v>
      </c>
      <c r="C101" t="s">
        <v>85</v>
      </c>
      <c r="D101" t="s">
        <v>257</v>
      </c>
      <c r="E101" s="4" t="s">
        <v>266</v>
      </c>
      <c r="F101">
        <v>1</v>
      </c>
      <c r="G101" s="2" t="s">
        <v>265</v>
      </c>
      <c r="H101">
        <v>15.59</v>
      </c>
      <c r="I101">
        <v>1</v>
      </c>
      <c r="J101" s="1">
        <f t="shared" si="38"/>
        <v>1</v>
      </c>
      <c r="K101" s="1">
        <f t="shared" si="39"/>
        <v>15.59</v>
      </c>
      <c r="L101" t="s">
        <v>267</v>
      </c>
      <c r="M101" s="3">
        <f t="array" aca="1" ref="M101" ca="1">IF(OR(CELL("address")=CELL("address",A101),CELL("address")=CELL("address",B101),CELL("address")=CELL("address",C101),CELL("address")=CELL("address",D101),CELL("address")=CELL("address",E101),CELL("address")=CELL("address",F101),CELL("address")=CELL("address",G101),CELL("address")=CELL("address",H101),CELL("address")=CELL("address",I101)),NOW(),M101)</f>
        <v>45794.921978819446</v>
      </c>
    </row>
    <row r="102" spans="1:13" x14ac:dyDescent="0.55000000000000004">
      <c r="A102" s="5" t="s">
        <v>49</v>
      </c>
      <c r="B102" t="s">
        <v>19</v>
      </c>
      <c r="C102" t="s">
        <v>85</v>
      </c>
      <c r="E102" s="5" t="s">
        <v>290</v>
      </c>
      <c r="F102">
        <v>1</v>
      </c>
      <c r="G102" s="2" t="s">
        <v>289</v>
      </c>
      <c r="H102">
        <v>12.99</v>
      </c>
      <c r="I102">
        <v>1</v>
      </c>
      <c r="J102" s="1">
        <f t="shared" si="38"/>
        <v>1</v>
      </c>
      <c r="K102" s="1">
        <f t="shared" si="39"/>
        <v>12.99</v>
      </c>
      <c r="M102" s="3">
        <f t="array" aca="1" ref="M102" ca="1">IF(OR(CELL("address")=CELL("address",A102),CELL("address")=CELL("address",B102),CELL("address")=CELL("address",C102),CELL("address")=CELL("address",D102),CELL("address")=CELL("address",E102),CELL("address")=CELL("address",F102),CELL("address")=CELL("address",G102),CELL("address")=CELL("address",H102),CELL("address")=CELL("address",I102)),NOW(),M102)</f>
        <v>45809.837934374998</v>
      </c>
    </row>
    <row r="103" spans="1:13" x14ac:dyDescent="0.55000000000000004">
      <c r="A103" s="5" t="s">
        <v>49</v>
      </c>
      <c r="B103" t="s">
        <v>19</v>
      </c>
      <c r="C103" t="s">
        <v>85</v>
      </c>
      <c r="E103" s="5" t="s">
        <v>288</v>
      </c>
      <c r="F103">
        <v>1</v>
      </c>
      <c r="G103" s="2" t="s">
        <v>287</v>
      </c>
      <c r="H103">
        <v>10.99</v>
      </c>
      <c r="I103">
        <v>1</v>
      </c>
      <c r="J103" s="1">
        <f t="shared" si="38"/>
        <v>1</v>
      </c>
      <c r="K103" s="1">
        <f t="shared" si="39"/>
        <v>10.99</v>
      </c>
      <c r="M103" s="3">
        <f t="array" aca="1" ref="M103" ca="1">IF(OR(CELL("address")=CELL("address",A103),CELL("address")=CELL("address",B103),CELL("address")=CELL("address",C103),CELL("address")=CELL("address",D103),CELL("address")=CELL("address",E103),CELL("address")=CELL("address",F103),CELL("address")=CELL("address",G103),CELL("address")=CELL("address",H103),CELL("address")=CELL("address",I103)),NOW(),M103)</f>
        <v>45794.996380555553</v>
      </c>
    </row>
    <row r="104" spans="1:13" x14ac:dyDescent="0.55000000000000004">
      <c r="A104" s="5" t="s">
        <v>49</v>
      </c>
      <c r="B104" t="s">
        <v>19</v>
      </c>
      <c r="C104" t="s">
        <v>85</v>
      </c>
      <c r="E104" s="5" t="s">
        <v>245</v>
      </c>
      <c r="F104">
        <v>1</v>
      </c>
      <c r="G104" s="2" t="s">
        <v>244</v>
      </c>
      <c r="H104">
        <v>11.99</v>
      </c>
      <c r="I104">
        <v>1</v>
      </c>
      <c r="J104" s="1">
        <f t="shared" si="38"/>
        <v>1</v>
      </c>
      <c r="K104" s="1">
        <f t="shared" si="39"/>
        <v>11.99</v>
      </c>
      <c r="M104" s="3">
        <f t="array" aca="1" ref="M104" ca="1">IF(OR(CELL("address")=CELL("address",A104),CELL("address")=CELL("address",B104),CELL("address")=CELL("address",C104),CELL("address")=CELL("address",D104),CELL("address")=CELL("address",E104),CELL("address")=CELL("address",F104),CELL("address")=CELL("address",G104),CELL("address")=CELL("address",H104),CELL("address")=CELL("address",I104)),NOW(),M104)</f>
        <v>45794.88801412037</v>
      </c>
    </row>
    <row r="105" spans="1:13" x14ac:dyDescent="0.55000000000000004">
      <c r="A105" s="5" t="s">
        <v>49</v>
      </c>
      <c r="B105" t="s">
        <v>19</v>
      </c>
      <c r="C105" t="s">
        <v>85</v>
      </c>
      <c r="D105" t="s">
        <v>90</v>
      </c>
      <c r="E105" s="5" t="s">
        <v>26</v>
      </c>
      <c r="F105">
        <v>1</v>
      </c>
      <c r="G105" s="2" t="s">
        <v>27</v>
      </c>
      <c r="H105">
        <v>70.5</v>
      </c>
      <c r="I105">
        <v>1</v>
      </c>
      <c r="J105" s="1">
        <f t="shared" si="26"/>
        <v>1</v>
      </c>
      <c r="K105" s="1">
        <f t="shared" si="27"/>
        <v>70.5</v>
      </c>
      <c r="M105" s="3">
        <f t="array" aca="1" ref="M105" ca="1">IF(OR(CELL("address")=CELL("address",A105),CELL("address")=CELL("address",B105),CELL("address")=CELL("address",C105),CELL("address")=CELL("address",D105),CELL("address")=CELL("address",E105),CELL("address")=CELL("address",F105),CELL("address")=CELL("address",G105),CELL("address")=CELL("address",H105),CELL("address")=CELL("address",I105)),NOW(),M105)</f>
        <v>45795.006290509256</v>
      </c>
    </row>
    <row r="106" spans="1:13" x14ac:dyDescent="0.55000000000000004">
      <c r="A106" s="5" t="s">
        <v>49</v>
      </c>
      <c r="B106" t="s">
        <v>19</v>
      </c>
      <c r="C106" t="s">
        <v>85</v>
      </c>
      <c r="D106" t="s">
        <v>90</v>
      </c>
      <c r="E106" s="5" t="s">
        <v>94</v>
      </c>
      <c r="F106">
        <v>1</v>
      </c>
      <c r="G106" s="2" t="s">
        <v>93</v>
      </c>
      <c r="H106">
        <v>8.98</v>
      </c>
      <c r="I106">
        <v>1</v>
      </c>
      <c r="J106" s="1">
        <f t="shared" si="26"/>
        <v>1</v>
      </c>
      <c r="K106" s="1">
        <f t="shared" si="27"/>
        <v>8.98</v>
      </c>
      <c r="M106" s="3">
        <f t="array" aca="1" ref="M106" ca="1">IF(OR(CELL("address")=CELL("address",A106),CELL("address")=CELL("address",B106),CELL("address")=CELL("address",C106),CELL("address")=CELL("address",D106),CELL("address")=CELL("address",E106),CELL("address")=CELL("address",F106),CELL("address")=CELL("address",G106),CELL("address")=CELL("address",H106),CELL("address")=CELL("address",I106)),NOW(),M106)</f>
        <v>45643.709466666667</v>
      </c>
    </row>
    <row r="107" spans="1:13" x14ac:dyDescent="0.55000000000000004">
      <c r="A107" s="5" t="s">
        <v>49</v>
      </c>
      <c r="B107" t="s">
        <v>19</v>
      </c>
      <c r="C107" t="s">
        <v>85</v>
      </c>
      <c r="D107" t="s">
        <v>90</v>
      </c>
      <c r="E107" s="5" t="s">
        <v>95</v>
      </c>
      <c r="F107">
        <v>1</v>
      </c>
      <c r="G107" s="2" t="s">
        <v>86</v>
      </c>
      <c r="H107">
        <v>33.92</v>
      </c>
      <c r="I107">
        <v>1</v>
      </c>
      <c r="J107" s="1">
        <f t="shared" si="26"/>
        <v>1</v>
      </c>
      <c r="K107" s="1">
        <f t="shared" si="27"/>
        <v>33.92</v>
      </c>
      <c r="L107" t="s">
        <v>96</v>
      </c>
      <c r="M107" s="3">
        <f t="array" aca="1" ref="M107" ca="1">IF(OR(CELL("address")=CELL("address",A107),CELL("address")=CELL("address",B107),CELL("address")=CELL("address",C107),CELL("address")=CELL("address",D107),CELL("address")=CELL("address",E107),CELL("address")=CELL("address",F107),CELL("address")=CELL("address",G107),CELL("address")=CELL("address",H107),CELL("address")=CELL("address",I107)),NOW(),M107)</f>
        <v>45642.605838310184</v>
      </c>
    </row>
    <row r="108" spans="1:13" x14ac:dyDescent="0.55000000000000004">
      <c r="A108" s="5" t="s">
        <v>49</v>
      </c>
      <c r="B108" t="s">
        <v>19</v>
      </c>
      <c r="C108" t="s">
        <v>85</v>
      </c>
      <c r="D108" t="s">
        <v>90</v>
      </c>
      <c r="E108" s="5" t="s">
        <v>46</v>
      </c>
      <c r="F108">
        <v>1</v>
      </c>
      <c r="G108" s="2" t="s">
        <v>113</v>
      </c>
      <c r="H108">
        <v>15.99</v>
      </c>
      <c r="I108">
        <v>3</v>
      </c>
      <c r="J108" s="1">
        <f t="shared" si="26"/>
        <v>1</v>
      </c>
      <c r="K108" s="1">
        <f t="shared" si="27"/>
        <v>15.99</v>
      </c>
      <c r="M108" s="3">
        <f t="array" aca="1" ref="M108" ca="1">IF(OR(CELL("address")=CELL("address",A108),CELL("address")=CELL("address",B108),CELL("address")=CELL("address",C108),CELL("address")=CELL("address",D108),CELL("address")=CELL("address",E108),CELL("address")=CELL("address",F108),CELL("address")=CELL("address",G108),CELL("address")=CELL("address",H108),CELL("address")=CELL("address",I108)),NOW(),M108)</f>
        <v>45643.709010995372</v>
      </c>
    </row>
    <row r="109" spans="1:13" x14ac:dyDescent="0.55000000000000004">
      <c r="A109" s="5" t="s">
        <v>49</v>
      </c>
      <c r="B109" t="s">
        <v>19</v>
      </c>
      <c r="C109" t="s">
        <v>85</v>
      </c>
      <c r="D109" t="s">
        <v>282</v>
      </c>
      <c r="E109" s="5" t="s">
        <v>283</v>
      </c>
      <c r="F109">
        <v>1</v>
      </c>
      <c r="G109" s="2" t="s">
        <v>48</v>
      </c>
      <c r="H109">
        <v>0</v>
      </c>
      <c r="I109">
        <v>1</v>
      </c>
      <c r="J109" s="1">
        <f t="shared" ref="J109" si="40">ROUNDUP(F109/I109,0)</f>
        <v>1</v>
      </c>
      <c r="K109" s="1">
        <f>J109*H109</f>
        <v>0</v>
      </c>
      <c r="L109" s="2" t="s">
        <v>217</v>
      </c>
      <c r="M109" s="3">
        <f t="array" aca="1" ref="M109" ca="1">IF(OR(CELL("address")=CELL("address",A109),CELL("address")=CELL("address",B109),CELL("address")=CELL("address",C109),CELL("address")=CELL("address",D109),CELL("address")=CELL("address",E109),CELL("address")=CELL("address",F109),CELL("address")=CELL("address",G109),CELL("address")=CELL("address",H109),CELL("address")=CELL("address",I109)),NOW(),M109)</f>
        <v>45794.999953935185</v>
      </c>
    </row>
    <row r="110" spans="1:13" x14ac:dyDescent="0.55000000000000004">
      <c r="A110" s="5" t="s">
        <v>49</v>
      </c>
      <c r="B110" t="s">
        <v>19</v>
      </c>
      <c r="C110" t="s">
        <v>85</v>
      </c>
      <c r="D110" t="s">
        <v>282</v>
      </c>
      <c r="E110" s="5" t="s">
        <v>111</v>
      </c>
      <c r="F110">
        <v>1</v>
      </c>
      <c r="G110" s="2" t="s">
        <v>110</v>
      </c>
      <c r="H110">
        <v>16.989999999999998</v>
      </c>
      <c r="I110">
        <v>10</v>
      </c>
      <c r="J110" s="1">
        <f t="shared" si="26"/>
        <v>1</v>
      </c>
      <c r="K110" s="1">
        <f t="shared" si="27"/>
        <v>16.989999999999998</v>
      </c>
      <c r="M110" s="3">
        <f t="array" aca="1" ref="M110" ca="1">IF(OR(CELL("address")=CELL("address",A110),CELL("address")=CELL("address",B110),CELL("address")=CELL("address",C110),CELL("address")=CELL("address",D110),CELL("address")=CELL("address",E110),CELL("address")=CELL("address",F110),CELL("address")=CELL("address",G110),CELL("address")=CELL("address",H110),CELL("address")=CELL("address",I110)),NOW(),M110)</f>
        <v>45794.983736458336</v>
      </c>
    </row>
    <row r="111" spans="1:13" x14ac:dyDescent="0.55000000000000004">
      <c r="A111" s="5" t="s">
        <v>49</v>
      </c>
      <c r="C111" t="s">
        <v>85</v>
      </c>
      <c r="D111" t="s">
        <v>282</v>
      </c>
      <c r="E111" s="5" t="s">
        <v>285</v>
      </c>
      <c r="F111">
        <v>1</v>
      </c>
      <c r="G111" s="2" t="s">
        <v>280</v>
      </c>
      <c r="H111">
        <v>5.99</v>
      </c>
      <c r="I111">
        <v>1</v>
      </c>
      <c r="J111" s="1">
        <f t="shared" si="26"/>
        <v>1</v>
      </c>
      <c r="K111" s="1">
        <f t="shared" si="27"/>
        <v>5.99</v>
      </c>
      <c r="M111" s="3">
        <f t="array" aca="1" ref="M111" ca="1">IF(OR(CELL("address")=CELL("address",A111),CELL("address")=CELL("address",B111),CELL("address")=CELL("address",C111),CELL("address")=CELL("address",D111),CELL("address")=CELL("address",E111),CELL("address")=CELL("address",F111),CELL("address")=CELL("address",G111),CELL("address")=CELL("address",H111),CELL("address")=CELL("address",I111)),NOW(),M111)</f>
        <v>45795.012884837961</v>
      </c>
    </row>
    <row r="112" spans="1:13" x14ac:dyDescent="0.55000000000000004">
      <c r="A112" s="5" t="s">
        <v>49</v>
      </c>
      <c r="B112" t="s">
        <v>19</v>
      </c>
      <c r="C112" t="s">
        <v>85</v>
      </c>
      <c r="D112" t="s">
        <v>282</v>
      </c>
      <c r="E112" s="5" t="s">
        <v>136</v>
      </c>
      <c r="F112">
        <v>1</v>
      </c>
      <c r="G112" s="2" t="s">
        <v>137</v>
      </c>
      <c r="H112">
        <v>22.99</v>
      </c>
      <c r="I112">
        <v>1</v>
      </c>
      <c r="J112" s="1">
        <f t="shared" si="26"/>
        <v>1</v>
      </c>
      <c r="K112" s="1">
        <f t="shared" si="27"/>
        <v>22.99</v>
      </c>
      <c r="M112" s="3">
        <f t="array" aca="1" ref="M112" ca="1">IF(OR(CELL("address")=CELL("address",A112),CELL("address")=CELL("address",B112),CELL("address")=CELL("address",C112),CELL("address")=CELL("address",D112),CELL("address")=CELL("address",E112),CELL("address")=CELL("address",F112),CELL("address")=CELL("address",G112),CELL("address")=CELL("address",H112),CELL("address")=CELL("address",I112)),NOW(),M112)</f>
        <v>45643.705772337962</v>
      </c>
    </row>
    <row r="113" spans="1:13" x14ac:dyDescent="0.55000000000000004">
      <c r="A113" s="5" t="s">
        <v>49</v>
      </c>
      <c r="B113" t="s">
        <v>19</v>
      </c>
      <c r="C113" t="s">
        <v>85</v>
      </c>
      <c r="E113" s="5" t="s">
        <v>91</v>
      </c>
      <c r="F113">
        <v>1</v>
      </c>
      <c r="G113" s="2" t="s">
        <v>138</v>
      </c>
      <c r="H113">
        <v>15.19</v>
      </c>
      <c r="I113">
        <v>1</v>
      </c>
      <c r="J113" s="1">
        <f t="shared" si="26"/>
        <v>1</v>
      </c>
      <c r="K113" s="1">
        <f t="shared" si="27"/>
        <v>15.19</v>
      </c>
      <c r="M113" s="3">
        <f t="array" aca="1" ref="M113" ca="1">IF(OR(CELL("address")=CELL("address",A113),CELL("address")=CELL("address",B113),CELL("address")=CELL("address",C113),CELL("address")=CELL("address",D113),CELL("address")=CELL("address",E113),CELL("address")=CELL("address",F113),CELL("address")=CELL("address",G113),CELL("address")=CELL("address",H113),CELL("address")=CELL("address",I113)),NOW(),M113)</f>
        <v>45643.707148842594</v>
      </c>
    </row>
    <row r="114" spans="1:13" x14ac:dyDescent="0.55000000000000004">
      <c r="A114" s="5" t="s">
        <v>49</v>
      </c>
      <c r="B114" t="s">
        <v>19</v>
      </c>
      <c r="C114" t="s">
        <v>85</v>
      </c>
      <c r="E114" s="5" t="s">
        <v>92</v>
      </c>
      <c r="F114">
        <v>1</v>
      </c>
      <c r="G114" s="2" t="s">
        <v>135</v>
      </c>
      <c r="H114">
        <v>9.49</v>
      </c>
      <c r="I114">
        <v>1</v>
      </c>
      <c r="J114" s="1">
        <f t="shared" si="26"/>
        <v>1</v>
      </c>
      <c r="K114" s="1">
        <f t="shared" si="27"/>
        <v>9.49</v>
      </c>
      <c r="M114" s="3">
        <f t="array" aca="1" ref="M114" ca="1">IF(OR(CELL("address")=CELL("address",A114),CELL("address")=CELL("address",B114),CELL("address")=CELL("address",C114),CELL("address")=CELL("address",D114),CELL("address")=CELL("address",E114),CELL("address")=CELL("address",F114),CELL("address")=CELL("address",G114),CELL("address")=CELL("address",H114),CELL("address")=CELL("address",I114)),NOW(),M114)</f>
        <v>46268.875048148147</v>
      </c>
    </row>
    <row r="115" spans="1:13" x14ac:dyDescent="0.55000000000000004">
      <c r="A115" s="5" t="s">
        <v>49</v>
      </c>
      <c r="B115" t="s">
        <v>19</v>
      </c>
      <c r="C115" t="s">
        <v>85</v>
      </c>
      <c r="D115" t="s">
        <v>197</v>
      </c>
      <c r="E115" s="5" t="s">
        <v>40</v>
      </c>
      <c r="F115">
        <v>1</v>
      </c>
      <c r="G115" s="2" t="s">
        <v>87</v>
      </c>
      <c r="H115">
        <v>3.99</v>
      </c>
      <c r="I115">
        <v>1</v>
      </c>
      <c r="J115" s="1">
        <f t="shared" si="26"/>
        <v>1</v>
      </c>
      <c r="K115" s="1">
        <f t="shared" si="27"/>
        <v>3.99</v>
      </c>
      <c r="L115" t="s">
        <v>198</v>
      </c>
      <c r="M115" s="3">
        <f t="array" aca="1" ref="M115" ca="1">IF(OR(CELL("address")=CELL("address",A115),CELL("address")=CELL("address",B115),CELL("address")=CELL("address",C115),CELL("address")=CELL("address",D115),CELL("address")=CELL("address",E115),CELL("address")=CELL("address",F115),CELL("address")=CELL("address",G115),CELL("address")=CELL("address",H115),CELL("address")=CELL("address",I115)),NOW(),M115)</f>
        <v>45663.844060416668</v>
      </c>
    </row>
    <row r="116" spans="1:13" x14ac:dyDescent="0.55000000000000004">
      <c r="A116" s="5" t="s">
        <v>49</v>
      </c>
      <c r="B116" t="s">
        <v>19</v>
      </c>
      <c r="C116" t="s">
        <v>85</v>
      </c>
      <c r="D116" t="s">
        <v>197</v>
      </c>
      <c r="E116" s="5" t="s">
        <v>44</v>
      </c>
      <c r="F116">
        <v>1</v>
      </c>
      <c r="G116" s="2" t="s">
        <v>88</v>
      </c>
      <c r="H116">
        <v>7.99</v>
      </c>
      <c r="I116">
        <v>1</v>
      </c>
      <c r="J116" s="1">
        <f t="shared" si="26"/>
        <v>1</v>
      </c>
      <c r="K116" s="1">
        <f t="shared" si="27"/>
        <v>7.99</v>
      </c>
      <c r="M116" s="3">
        <f t="array" aca="1" ref="M116" ca="1">IF(OR(CELL("address")=CELL("address",A116),CELL("address")=CELL("address",B116),CELL("address")=CELL("address",C116),CELL("address")=CELL("address",D116),CELL("address")=CELL("address",E116),CELL("address")=CELL("address",F116),CELL("address")=CELL("address",G116),CELL("address")=CELL("address",H116),CELL("address")=CELL("address",I116)),NOW(),M116)</f>
        <v>45663.844104976852</v>
      </c>
    </row>
    <row r="117" spans="1:13" x14ac:dyDescent="0.55000000000000004">
      <c r="A117" s="5" t="s">
        <v>49</v>
      </c>
      <c r="B117" t="s">
        <v>19</v>
      </c>
      <c r="C117" t="s">
        <v>85</v>
      </c>
      <c r="D117" t="s">
        <v>197</v>
      </c>
      <c r="E117" s="5" t="s">
        <v>45</v>
      </c>
      <c r="F117">
        <v>1</v>
      </c>
      <c r="G117" s="2" t="s">
        <v>89</v>
      </c>
      <c r="H117">
        <v>23.99</v>
      </c>
      <c r="I117">
        <v>1</v>
      </c>
      <c r="J117" s="1">
        <f t="shared" si="26"/>
        <v>1</v>
      </c>
      <c r="K117" s="1">
        <f t="shared" si="27"/>
        <v>23.99</v>
      </c>
      <c r="M117" s="3">
        <f t="array" aca="1" ref="M117" ca="1">IF(OR(CELL("address")=CELL("address",A117),CELL("address")=CELL("address",B117),CELL("address")=CELL("address",C117),CELL("address")=CELL("address",D117),CELL("address")=CELL("address",E117),CELL("address")=CELL("address",F117),CELL("address")=CELL("address",G117),CELL("address")=CELL("address",H117),CELL("address")=CELL("address",I117)),NOW(),M117)</f>
        <v>45795.502180208336</v>
      </c>
    </row>
    <row r="118" spans="1:13" x14ac:dyDescent="0.55000000000000004">
      <c r="A118" s="5" t="s">
        <v>49</v>
      </c>
      <c r="C118" t="s">
        <v>302</v>
      </c>
      <c r="E118" s="5" t="s">
        <v>30</v>
      </c>
      <c r="F118">
        <v>1</v>
      </c>
      <c r="G118" s="2" t="s">
        <v>112</v>
      </c>
      <c r="H118">
        <v>13.99</v>
      </c>
      <c r="I118">
        <v>1</v>
      </c>
      <c r="J118" s="1">
        <f t="shared" si="26"/>
        <v>1</v>
      </c>
      <c r="K118" s="1">
        <f t="shared" si="27"/>
        <v>13.99</v>
      </c>
      <c r="M118" s="3">
        <f t="array" aca="1" ref="M118" ca="1">IF(OR(CELL("address")=CELL("address",A118),CELL("address")=CELL("address",B118),CELL("address")=CELL("address",C118),CELL("address")=CELL("address",D118),CELL("address")=CELL("address",E118),CELL("address")=CELL("address",F118),CELL("address")=CELL("address",G118),CELL("address")=CELL("address",H118),CELL("address")=CELL("address",I118)),NOW(),M118)</f>
        <v>45798.646983333332</v>
      </c>
    </row>
    <row r="119" spans="1:13" x14ac:dyDescent="0.55000000000000004">
      <c r="A119" s="5" t="s">
        <v>49</v>
      </c>
      <c r="C119" t="s">
        <v>302</v>
      </c>
      <c r="E119" s="5" t="s">
        <v>124</v>
      </c>
      <c r="F119">
        <v>1</v>
      </c>
      <c r="H119">
        <v>0</v>
      </c>
      <c r="I119">
        <v>1</v>
      </c>
      <c r="J119" s="1">
        <f>ROUNDUP(F119/I119,0)</f>
        <v>1</v>
      </c>
      <c r="K119" s="1">
        <f>J119*H119</f>
        <v>0</v>
      </c>
      <c r="M119" s="3">
        <f t="array" aca="1" ref="M119" ca="1">IF(OR(CELL("address")=CELL("address",A119),CELL("address")=CELL("address",B119),CELL("address")=CELL("address",C119),CELL("address")=CELL("address",D119),CELL("address")=CELL("address",E119),CELL("address")=CELL("address",F119),CELL("address")=CELL("address",G119),CELL("address")=CELL("address",H119),CELL("address")=CELL("address",I119)),NOW(),M119)</f>
        <v>45798.645414004626</v>
      </c>
    </row>
    <row r="120" spans="1:13" x14ac:dyDescent="0.55000000000000004">
      <c r="A120" s="5" t="s">
        <v>49</v>
      </c>
      <c r="C120" t="s">
        <v>302</v>
      </c>
      <c r="D120" t="s">
        <v>82</v>
      </c>
      <c r="E120" s="5" t="s">
        <v>99</v>
      </c>
      <c r="F120">
        <v>1</v>
      </c>
      <c r="G120" s="2" t="s">
        <v>100</v>
      </c>
      <c r="H120">
        <v>15.99</v>
      </c>
      <c r="I120">
        <v>1</v>
      </c>
      <c r="J120" s="1">
        <f>ROUNDUP(F120/I120,0)</f>
        <v>1</v>
      </c>
      <c r="K120" s="1">
        <f>J120*H120</f>
        <v>15.99</v>
      </c>
      <c r="M120" s="3">
        <f t="array" aca="1" ref="M120" ca="1">IF(OR(CELL("address")=CELL("address",A120),CELL("address")=CELL("address",B120),CELL("address")=CELL("address",C120),CELL("address")=CELL("address",D120),CELL("address")=CELL("address",E120),CELL("address")=CELL("address",F120),CELL("address")=CELL("address",G120),CELL("address")=CELL("address",H120),CELL("address")=CELL("address",I120)),NOW(),M120)</f>
        <v>45794.746116550923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55000000000000004"/>
  <sheetData>
    <row r="1" spans="1:3" x14ac:dyDescent="0.55000000000000004">
      <c r="A1" t="s">
        <v>309</v>
      </c>
      <c r="B1">
        <f>SUM('Parts &amp; Assembly List'!F3:F120)</f>
        <v>496.6</v>
      </c>
    </row>
    <row r="2" spans="1:3" x14ac:dyDescent="0.55000000000000004">
      <c r="A2" t="s">
        <v>41</v>
      </c>
      <c r="B2">
        <f>SUM('Parts &amp; Assembly List'!K3:K463)</f>
        <v>2252.4299999999985</v>
      </c>
      <c r="C2" t="s">
        <v>49</v>
      </c>
    </row>
    <row r="3" spans="1:3" x14ac:dyDescent="0.55000000000000004">
      <c r="A3" t="s">
        <v>310</v>
      </c>
      <c r="B3">
        <f>B2/B1</f>
        <v>4.5357027788964928</v>
      </c>
      <c r="C3" t="s">
        <v>49</v>
      </c>
    </row>
    <row r="5" spans="1:3" x14ac:dyDescent="0.55000000000000004">
      <c r="A5" t="s">
        <v>312</v>
      </c>
      <c r="B5">
        <f>SUM('Tools Needed'!G9:G20)</f>
        <v>103.74000000000001</v>
      </c>
      <c r="C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9:G20"/>
  <sheetViews>
    <sheetView workbookViewId="0"/>
  </sheetViews>
  <sheetFormatPr defaultRowHeight="14.4" x14ac:dyDescent="0.55000000000000004"/>
  <sheetData>
    <row r="9" spans="5:7" x14ac:dyDescent="0.55000000000000004">
      <c r="E9" t="s">
        <v>155</v>
      </c>
      <c r="F9" s="2" t="s">
        <v>154</v>
      </c>
      <c r="G9">
        <v>9.99</v>
      </c>
    </row>
    <row r="12" spans="5:7" x14ac:dyDescent="0.55000000000000004">
      <c r="E12" t="s">
        <v>184</v>
      </c>
      <c r="F12" s="2" t="s">
        <v>186</v>
      </c>
      <c r="G12">
        <v>9.99</v>
      </c>
    </row>
    <row r="13" spans="5:7" x14ac:dyDescent="0.55000000000000004">
      <c r="E13" t="s">
        <v>185</v>
      </c>
      <c r="F13" s="2" t="s">
        <v>187</v>
      </c>
      <c r="G13">
        <v>18.989999999999998</v>
      </c>
    </row>
    <row r="15" spans="5:7" x14ac:dyDescent="0.55000000000000004">
      <c r="E15" t="s">
        <v>247</v>
      </c>
      <c r="F15" s="2" t="s">
        <v>246</v>
      </c>
      <c r="G15">
        <v>11.79</v>
      </c>
    </row>
    <row r="17" spans="5:7" x14ac:dyDescent="0.55000000000000004">
      <c r="E17" t="s">
        <v>253</v>
      </c>
      <c r="F17" s="2" t="s">
        <v>254</v>
      </c>
      <c r="G17">
        <v>17.989999999999998</v>
      </c>
    </row>
    <row r="20" spans="5:7" x14ac:dyDescent="0.55000000000000004">
      <c r="E20" t="s">
        <v>292</v>
      </c>
      <c r="F20" s="2" t="s">
        <v>291</v>
      </c>
      <c r="G20">
        <v>34.99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55000000000000004"/>
  <sheetData>
    <row r="1" spans="1:2" x14ac:dyDescent="0.55000000000000004">
      <c r="A1" t="s">
        <v>12</v>
      </c>
      <c r="B1" t="s">
        <v>284</v>
      </c>
    </row>
    <row r="2" spans="1:2" x14ac:dyDescent="0.55000000000000004">
      <c r="A2" t="s">
        <v>67</v>
      </c>
      <c r="B2" t="s">
        <v>22</v>
      </c>
    </row>
    <row r="3" spans="1:2" x14ac:dyDescent="0.55000000000000004">
      <c r="A3" t="s">
        <v>129</v>
      </c>
      <c r="B3" t="s">
        <v>304</v>
      </c>
    </row>
    <row r="4" spans="1:2" x14ac:dyDescent="0.55000000000000004">
      <c r="A4" t="s">
        <v>250</v>
      </c>
      <c r="B4" t="s">
        <v>206</v>
      </c>
    </row>
    <row r="5" spans="1:2" x14ac:dyDescent="0.55000000000000004">
      <c r="A5" t="s">
        <v>85</v>
      </c>
      <c r="B5" t="s">
        <v>303</v>
      </c>
    </row>
    <row r="6" spans="1:2" x14ac:dyDescent="0.55000000000000004">
      <c r="A6" t="s">
        <v>302</v>
      </c>
      <c r="B6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9:G15"/>
  <sheetViews>
    <sheetView workbookViewId="0"/>
  </sheetViews>
  <sheetFormatPr defaultRowHeight="14.4" x14ac:dyDescent="0.55000000000000004"/>
  <sheetData>
    <row r="9" spans="4:7" x14ac:dyDescent="0.55000000000000004">
      <c r="G9" s="2" t="s">
        <v>316</v>
      </c>
    </row>
    <row r="10" spans="4:7" x14ac:dyDescent="0.55000000000000004">
      <c r="D10" t="s">
        <v>317</v>
      </c>
      <c r="E10" s="2" t="s">
        <v>316</v>
      </c>
    </row>
    <row r="11" spans="4:7" x14ac:dyDescent="0.55000000000000004">
      <c r="D11" t="s">
        <v>319</v>
      </c>
      <c r="E11" s="2" t="s">
        <v>318</v>
      </c>
    </row>
    <row r="12" spans="4:7" x14ac:dyDescent="0.55000000000000004">
      <c r="D12" t="s">
        <v>321</v>
      </c>
      <c r="E12" s="2" t="s">
        <v>320</v>
      </c>
    </row>
    <row r="15" spans="4:7" x14ac:dyDescent="0.55000000000000004">
      <c r="D15" t="s">
        <v>323</v>
      </c>
      <c r="E15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55000000000000004"/>
  <sheetData>
    <row r="1" spans="1:1" x14ac:dyDescent="0.55000000000000004">
      <c r="A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Parts &amp; Assembly List</vt:lpstr>
      <vt:lpstr>Part Count and Cost Estimate</vt:lpstr>
      <vt:lpstr>Tools Needed</vt:lpstr>
      <vt:lpstr>Part Catagory Key</vt:lpstr>
      <vt:lpstr>Temp</vt:lpstr>
      <vt:lpstr>Operational Consumables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Tommy Rohmann</dc:creator>
  <cp:keywords/>
  <dc:description/>
  <cp:lastModifiedBy>Tommy Rohmann</cp:lastModifiedBy>
  <cp:revision/>
  <cp:lastPrinted>2025-05-18T04:19:33Z</cp:lastPrinted>
  <dcterms:created xsi:type="dcterms:W3CDTF">2015-06-05T18:17:20Z</dcterms:created>
  <dcterms:modified xsi:type="dcterms:W3CDTF">2026-09-04T04:00:04Z</dcterms:modified>
  <cp:category/>
  <cp:contentStatus/>
</cp:coreProperties>
</file>